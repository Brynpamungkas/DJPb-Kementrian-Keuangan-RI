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UNJUK" sheetId="1" state="visible" r:id="rId3"/>
    <sheet name="Report BPG" sheetId="2" state="visible" r:id="rId4"/>
    <sheet name="Paste BPG" sheetId="3" state="visible" r:id="rId5"/>
    <sheet name="Report BPN" sheetId="4" state="visible" r:id="rId6"/>
    <sheet name="Paste BPN" sheetId="5" state="visible" r:id="rId7"/>
    <sheet name="Report BLU" sheetId="6" state="visible" r:id="rId8"/>
    <sheet name="Paste BLU" sheetId="7" state="visible" r:id="rId9"/>
    <sheet name="Sheet1" sheetId="8" state="visible" r:id="rId10"/>
  </sheets>
  <definedNames>
    <definedName function="false" hidden="false" localSheetId="2" name="_xlnm.Print_Area" vbProcedure="false">'Paste BPG'!$A$1:$M$178</definedName>
    <definedName function="false" hidden="true" localSheetId="2" name="_xlnm._FilterDatabase" vbProcedure="false">'Paste BPG'!$A$1:$L$315</definedName>
    <definedName function="false" hidden="false" localSheetId="1" name="_xlnm.Print_Area" vbProcedure="false">'Report BPG'!$A$1:$L$201</definedName>
    <definedName function="false" hidden="false" localSheetId="1" name="_xlnm.Print_Titles" vbProcedure="false">'Report BPG'!$1:$6</definedName>
    <definedName function="false" hidden="false" localSheetId="3" name="_xlnm.Print_Area" vbProcedure="false">'Report BPN'!$A$1:$J$38</definedName>
    <definedName function="false" hidden="true" localSheetId="7" name="_xlnm._FilterDatabase" vbProcedure="false">Sheet1!$B$1:$B$199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PASTE DI SINI.
1. Buka file Rekapitulasi mentah dari KPPN, sheet 'Data'.
2. Ctrl+A untuk pilih semua isinya.
3. Ctrl+C untuk copy.
4. Klik sel A1 ini, lalu Ctrl+V untuk paste.
Semua kolom boleh ikut ter-paste, tidak perlu dihapus.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PASTE DI SINI.
1. Buka file Rekapitulasi mentah dari KPPN, sheet 'Data'.
2. Ctrl+A untuk pilih semua isinya.
3. Ctrl+C untuk copy.
4. Klik sel A1 ini, lalu Ctrl+V untuk paste.
Semua kolom boleh ikut ter-paste, tidak perlu dihapus.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PASTE DI SINI.
1. Buka file Rekapitulasi mentah dari KPPN, sheet 'Data'.
2. Ctrl+A untuk pilih semua isinya.
3. Ctrl+C untuk copy.
4. Klik sel A1 ini, lalu Ctrl+V untuk paste.
Semua kolom boleh ikut ter-paste, tidak perlu dihapus.</t>
        </r>
      </text>
    </comment>
  </commentList>
</comments>
</file>

<file path=xl/sharedStrings.xml><?xml version="1.0" encoding="utf-8"?>
<sst xmlns="http://schemas.openxmlformats.org/spreadsheetml/2006/main" count="664" uniqueCount="464">
  <si>
    <t xml:space="preserve">CARA PAKAI Bformat.xlsx</t>
  </si>
  <si>
    <t xml:space="preserve">1. Laporan Bendahara Pengeluaran (BPG)</t>
  </si>
  <si>
    <t xml:space="preserve">Sumber data: file 'Rekapitulasi LPJ Bendahara Pengeluaran Tingkat KPPN', sheet 'Data'.</t>
  </si>
  <si>
    <t xml:space="preserve">a. Buka file Rekapitulasi mentahnya, klik sheet 'Data'.</t>
  </si>
  <si>
    <t xml:space="preserve">b. Klik sel A1, lalu tekan Ctrl+A (pilih semua isi sheet).</t>
  </si>
  <si>
    <t xml:space="preserve">c. Tekan Ctrl+C (copy).</t>
  </si>
  <si>
    <t xml:space="preserve">d. Di file ini, buka sheet 'Paste BPG', klik sel A1 (sel kuning bertanda merah), lalu tekan Ctrl+V (paste).</t>
  </si>
  <si>
    <t xml:space="preserve">e. Selesai -- sheet 'Report' yang sesuai otomatis terhitung ulang.</t>
  </si>
  <si>
    <t xml:space="preserve">2. Laporan Bendahara Penerimaan (BPN)</t>
  </si>
  <si>
    <t xml:space="preserve">Sumber data: file 'Rekapitulasi LPJ Bendahara Penerimaan Tingkat KPPN', sheet 'Data'.</t>
  </si>
  <si>
    <t xml:space="preserve">d. Di file ini, buka sheet 'Paste BPN', klik sel A1 (sel kuning bertanda merah), lalu tekan Ctrl+V (paste).</t>
  </si>
  <si>
    <t xml:space="preserve">3. Laporan BLU</t>
  </si>
  <si>
    <t xml:space="preserve">Sumber data: file 'Rekapitulasi LPJ BLU Tingkat KPPN', sheet 'Data'.</t>
  </si>
  <si>
    <t xml:space="preserve">d. Di file ini, buka sheet 'Paste BLU', klik sel A1 (sel kuning bertanda merah), lalu tekan Ctrl+V (paste).</t>
  </si>
  <si>
    <t xml:space="preserve">PENTING: paste SEMUA kolom apa adanya (jangan dihapus kolom apa pun dulu). Rumus di sheet Report sudah otomatis mencari kolom yang benar berdasarkan nama headernya, bukan posisi kolom.</t>
  </si>
  <si>
    <t xml:space="preserve">Kalau ada Satker baru yang muncul di data KPPN tapi belum ada barisnya di sheet Report, baris itu perlu ditambahkan manual (bukan otomatis).</t>
  </si>
  <si>
    <t xml:space="preserve">DAFTAR LPJ PENGELUARAN</t>
  </si>
  <si>
    <t xml:space="preserve">BULAN JUNI TAHUN 2026</t>
  </si>
  <si>
    <t xml:space="preserve">KPPN BANDUNG II (095)</t>
  </si>
  <si>
    <t xml:space="preserve">NO</t>
  </si>
  <si>
    <t xml:space="preserve">KODE SATKER</t>
  </si>
  <si>
    <t xml:space="preserve">NAMA SATKER</t>
  </si>
  <si>
    <t xml:space="preserve">SALDO MENURUT BUKU PEMBANTU</t>
  </si>
  <si>
    <t xml:space="preserve">UANG PERSEDIAAN</t>
  </si>
  <si>
    <t xml:space="preserve">BP UP</t>
  </si>
  <si>
    <t xml:space="preserve">BP LS BENDAHARA</t>
  </si>
  <si>
    <t xml:space="preserve">BP PAJAK</t>
  </si>
  <si>
    <t xml:space="preserve">BP HIBAH</t>
  </si>
  <si>
    <t xml:space="preserve">BP LAIN-LAIN</t>
  </si>
  <si>
    <t xml:space="preserve">JUMLAH</t>
  </si>
  <si>
    <t xml:space="preserve">SALDO</t>
  </si>
  <si>
    <t xml:space="preserve">KWITANSI</t>
  </si>
  <si>
    <t xml:space="preserve">005</t>
  </si>
  <si>
    <t xml:space="preserve">MAHKAMAH AGUNG                                                        </t>
  </si>
  <si>
    <t xml:space="preserve">097500</t>
  </si>
  <si>
    <t xml:space="preserve">PENGADILAN TINGGI BANDUNG</t>
  </si>
  <si>
    <t xml:space="preserve">097514</t>
  </si>
  <si>
    <t xml:space="preserve">PENGADILAN NEGERI BANDUNG</t>
  </si>
  <si>
    <t xml:space="preserve">099067</t>
  </si>
  <si>
    <t xml:space="preserve">099068</t>
  </si>
  <si>
    <t xml:space="preserve">308166</t>
  </si>
  <si>
    <t xml:space="preserve">PENGADILAN TINGGI AGAMA BANDUNG</t>
  </si>
  <si>
    <t xml:space="preserve">309124</t>
  </si>
  <si>
    <t xml:space="preserve">400483</t>
  </si>
  <si>
    <t xml:space="preserve">PENGADILAN NEGERI BALE BANDUNG</t>
  </si>
  <si>
    <t xml:space="preserve">400484</t>
  </si>
  <si>
    <t xml:space="preserve">400662</t>
  </si>
  <si>
    <t xml:space="preserve">PENGADILAN AGAMA BANDUNG</t>
  </si>
  <si>
    <t xml:space="preserve">400663</t>
  </si>
  <si>
    <t xml:space="preserve">401957</t>
  </si>
  <si>
    <t xml:space="preserve">PENGADILAN AGAMA SOREANG</t>
  </si>
  <si>
    <t xml:space="preserve">401958</t>
  </si>
  <si>
    <t xml:space="preserve">PENGADILAN AGAMA CIMAHI</t>
  </si>
  <si>
    <t xml:space="preserve">401959</t>
  </si>
  <si>
    <t xml:space="preserve">PENGADILAN AGAMA NGAMPRAH</t>
  </si>
  <si>
    <t xml:space="preserve">403419</t>
  </si>
  <si>
    <t xml:space="preserve">403420</t>
  </si>
  <si>
    <t xml:space="preserve">PENGADILAN AGAMA KOTA CIMAHI</t>
  </si>
  <si>
    <t xml:space="preserve">403421</t>
  </si>
  <si>
    <t xml:space="preserve">531823</t>
  </si>
  <si>
    <t xml:space="preserve">PENGADILAN TATA USAHA NEGARA BANDUNG</t>
  </si>
  <si>
    <t xml:space="preserve">531824</t>
  </si>
  <si>
    <t xml:space="preserve">663271</t>
  </si>
  <si>
    <t xml:space="preserve">PENGADILAN MILITER  II - 09 DI BANDUNG</t>
  </si>
  <si>
    <t xml:space="preserve">663272</t>
  </si>
  <si>
    <t xml:space="preserve">006</t>
  </si>
  <si>
    <t xml:space="preserve">KEJAKSAAN REPUBLIK INDONESIA                                          </t>
  </si>
  <si>
    <t xml:space="preserve">005083</t>
  </si>
  <si>
    <t xml:space="preserve">KEJAKSAAN TINGGI JAWA BARAT</t>
  </si>
  <si>
    <t xml:space="preserve">005090</t>
  </si>
  <si>
    <t xml:space="preserve">KEJAKSAAN NEGERI KOTA BANDUNG</t>
  </si>
  <si>
    <t xml:space="preserve">005105</t>
  </si>
  <si>
    <t xml:space="preserve">KEJAKSAAN NEGERI KABUPATEN BANDUNG</t>
  </si>
  <si>
    <t xml:space="preserve">683017</t>
  </si>
  <si>
    <t xml:space="preserve">KEJAKSAAN NEGERI CIMAHI</t>
  </si>
  <si>
    <t xml:space="preserve">012</t>
  </si>
  <si>
    <t xml:space="preserve">KEMENTERIAN PERTAHANAN                                                </t>
  </si>
  <si>
    <t xml:space="preserve">344202</t>
  </si>
  <si>
    <t xml:space="preserve">ZIDAM III/SLW</t>
  </si>
  <si>
    <t xml:space="preserve">344203</t>
  </si>
  <si>
    <t xml:space="preserve">BEKANGDAM III/SLW</t>
  </si>
  <si>
    <t xml:space="preserve">344204</t>
  </si>
  <si>
    <t xml:space="preserve">PALDAM III/SLW</t>
  </si>
  <si>
    <t xml:space="preserve">344205</t>
  </si>
  <si>
    <t xml:space="preserve">HUBDAM III/SLW</t>
  </si>
  <si>
    <t xml:space="preserve">344206</t>
  </si>
  <si>
    <t xml:space="preserve">KESDAM III/SLW</t>
  </si>
  <si>
    <t xml:space="preserve">344215</t>
  </si>
  <si>
    <t xml:space="preserve">RINDAM III/SLW</t>
  </si>
  <si>
    <t xml:space="preserve">344221</t>
  </si>
  <si>
    <t xml:space="preserve">BRIGIF-15 /KJ DAM III/SLW</t>
  </si>
  <si>
    <t xml:space="preserve">344507</t>
  </si>
  <si>
    <t xml:space="preserve">SESKOAD</t>
  </si>
  <si>
    <t xml:space="preserve">344513</t>
  </si>
  <si>
    <t xml:space="preserve">SECAPA AD</t>
  </si>
  <si>
    <t xml:space="preserve">344519</t>
  </si>
  <si>
    <t xml:space="preserve">DITAJENAD</t>
  </si>
  <si>
    <t xml:space="preserve">344525</t>
  </si>
  <si>
    <t xml:space="preserve">DISPSIAD</t>
  </si>
  <si>
    <t xml:space="preserve">344528</t>
  </si>
  <si>
    <t xml:space="preserve">DISJASAD</t>
  </si>
  <si>
    <t xml:space="preserve">344529</t>
  </si>
  <si>
    <t xml:space="preserve">DISJARAHAD</t>
  </si>
  <si>
    <t xml:space="preserve">344632</t>
  </si>
  <si>
    <t xml:space="preserve">LANAL BANDUNG</t>
  </si>
  <si>
    <t xml:space="preserve">344775</t>
  </si>
  <si>
    <t xml:space="preserve">DISLITBANGAU</t>
  </si>
  <si>
    <t xml:space="preserve">344801</t>
  </si>
  <si>
    <t xml:space="preserve">SESKOAU</t>
  </si>
  <si>
    <t xml:space="preserve">344805</t>
  </si>
  <si>
    <t xml:space="preserve">LAFIAU</t>
  </si>
  <si>
    <t xml:space="preserve">344819</t>
  </si>
  <si>
    <t xml:space="preserve">LANUD HUSEIN SASTRANEGARA</t>
  </si>
  <si>
    <t xml:space="preserve">344860</t>
  </si>
  <si>
    <t xml:space="preserve">LANUD SULAIMAN</t>
  </si>
  <si>
    <t xml:space="preserve">344864</t>
  </si>
  <si>
    <t xml:space="preserve">DENMA KOHARMATAU</t>
  </si>
  <si>
    <t xml:space="preserve">344865</t>
  </si>
  <si>
    <t xml:space="preserve">DEPOHAR 10</t>
  </si>
  <si>
    <t xml:space="preserve">344868</t>
  </si>
  <si>
    <t xml:space="preserve">DEPOHAR 40</t>
  </si>
  <si>
    <t xml:space="preserve">344871</t>
  </si>
  <si>
    <t xml:space="preserve">DEPOHAR 70</t>
  </si>
  <si>
    <t xml:space="preserve">344872</t>
  </si>
  <si>
    <t xml:space="preserve">DENMA KORPASKHAS</t>
  </si>
  <si>
    <t xml:space="preserve">344896</t>
  </si>
  <si>
    <t xml:space="preserve">RUMKIT TK. IV 03.07.03 SARININGSIH BANDUNG KESDAM III/SLW</t>
  </si>
  <si>
    <t xml:space="preserve">684288</t>
  </si>
  <si>
    <t xml:space="preserve">SESKO TNI</t>
  </si>
  <si>
    <t xml:space="preserve">684292</t>
  </si>
  <si>
    <t xml:space="preserve">KOGARTAP II/BDG</t>
  </si>
  <si>
    <t xml:space="preserve">684932</t>
  </si>
  <si>
    <t xml:space="preserve">MAKODIKLAT</t>
  </si>
  <si>
    <t xml:space="preserve">684949</t>
  </si>
  <si>
    <t xml:space="preserve">PUSSENIF</t>
  </si>
  <si>
    <t xml:space="preserve">684953</t>
  </si>
  <si>
    <t xml:space="preserve">PUSSENKAV</t>
  </si>
  <si>
    <t xml:space="preserve">684960</t>
  </si>
  <si>
    <t xml:space="preserve">PUSSENARMED</t>
  </si>
  <si>
    <t xml:space="preserve">684974</t>
  </si>
  <si>
    <t xml:space="preserve">PUSSENARHANUD</t>
  </si>
  <si>
    <t xml:space="preserve">685002</t>
  </si>
  <si>
    <t xml:space="preserve">PUSSIMPUR KODIKLATAD</t>
  </si>
  <si>
    <t xml:space="preserve">685003</t>
  </si>
  <si>
    <t xml:space="preserve">PUSDIK PENGMILUM KODIKLTAD</t>
  </si>
  <si>
    <t xml:space="preserve">685004</t>
  </si>
  <si>
    <t xml:space="preserve">PUSDIK KOWAD KODIKLATAD</t>
  </si>
  <si>
    <t xml:space="preserve">685005</t>
  </si>
  <si>
    <t xml:space="preserve">PUSDIKJAS KODIKLAT TNI AD</t>
  </si>
  <si>
    <t xml:space="preserve">685006</t>
  </si>
  <si>
    <t xml:space="preserve">PUSDIKPOM KODIKLATAD</t>
  </si>
  <si>
    <t xml:space="preserve">685007</t>
  </si>
  <si>
    <t xml:space="preserve">PUSDIKHUB KODIKLATAD</t>
  </si>
  <si>
    <t xml:space="preserve">685008</t>
  </si>
  <si>
    <t xml:space="preserve">PUSDIKPAL KODIKLATAD</t>
  </si>
  <si>
    <t xml:space="preserve">685009</t>
  </si>
  <si>
    <t xml:space="preserve">PUSDIKBEKANG KODIKLATAD</t>
  </si>
  <si>
    <t xml:space="preserve">685010</t>
  </si>
  <si>
    <t xml:space="preserve">PUSDIKKU KODIKLATAD</t>
  </si>
  <si>
    <t xml:space="preserve">685011</t>
  </si>
  <si>
    <t xml:space="preserve">PUSDIKAJEN KODIKLATAD</t>
  </si>
  <si>
    <t xml:space="preserve">685015</t>
  </si>
  <si>
    <t xml:space="preserve">PUSDIKKUM KODIKLAT TNI AD</t>
  </si>
  <si>
    <t xml:space="preserve">685016</t>
  </si>
  <si>
    <t xml:space="preserve">PUSDIKTOP KODIKLATAD</t>
  </si>
  <si>
    <t xml:space="preserve">685019</t>
  </si>
  <si>
    <t xml:space="preserve">PUSDIKIF PUSSENIF KODIKLATAD</t>
  </si>
  <si>
    <t xml:space="preserve">685020</t>
  </si>
  <si>
    <t xml:space="preserve">PUSDIKKAV PUSSENKAV KODIKLATAD</t>
  </si>
  <si>
    <t xml:space="preserve">685036</t>
  </si>
  <si>
    <t xml:space="preserve">PUSDIKARMED PUSSENARMED KODIKLATAD37B</t>
  </si>
  <si>
    <t xml:space="preserve">685049</t>
  </si>
  <si>
    <t xml:space="preserve">KODIM 0618 / BANDUNG</t>
  </si>
  <si>
    <t xml:space="preserve">685089</t>
  </si>
  <si>
    <t xml:space="preserve">PUSDIKTER PUSTERAD</t>
  </si>
  <si>
    <t xml:space="preserve">685302</t>
  </si>
  <si>
    <t xml:space="preserve">PUSDIKPASSUS KOPASSUS</t>
  </si>
  <si>
    <t xml:space="preserve">685983</t>
  </si>
  <si>
    <t xml:space="preserve">MAKODAM III/SLW</t>
  </si>
  <si>
    <t xml:space="preserve">686182</t>
  </si>
  <si>
    <t xml:space="preserve">WINGDIK 800/PASGAT</t>
  </si>
  <si>
    <t xml:space="preserve">694955</t>
  </si>
  <si>
    <t xml:space="preserve">MENKAVKUD/RONGGOLAWE</t>
  </si>
  <si>
    <t xml:space="preserve">022</t>
  </si>
  <si>
    <t xml:space="preserve">KEMENTERIAN PERHUBUNGAN                                               </t>
  </si>
  <si>
    <t xml:space="preserve">403849</t>
  </si>
  <si>
    <t xml:space="preserve">BALAI PENGELOLA TRANSPORTASI DARAT WILAYAH IX</t>
  </si>
  <si>
    <t xml:space="preserve">419173</t>
  </si>
  <si>
    <t xml:space="preserve">BALAI PENDIDIKAN DAN PELATIHAN PEMBANGUNAN KARAKTER SUMBER DAYA MANUSIA TRANSPORTASI</t>
  </si>
  <si>
    <t xml:space="preserve">467515</t>
  </si>
  <si>
    <t xml:space="preserve">BALAI TEKNIK PERKERETAAPIAN WILAYAH JAWA BAGIAN BARAT</t>
  </si>
  <si>
    <t xml:space="preserve">025</t>
  </si>
  <si>
    <t xml:space="preserve">KEMENTERIAN AGAMA                                                     </t>
  </si>
  <si>
    <t xml:space="preserve">308255</t>
  </si>
  <si>
    <t xml:space="preserve">MADRASAH TSANAWIYAH NEGERI 1 BANDUNG KOTA BANDUNG</t>
  </si>
  <si>
    <t xml:space="preserve">308276</t>
  </si>
  <si>
    <t xml:space="preserve">MADRASAH ALIYAH NEGERI BANDUNG BARAT KAB. BANDUNG BARAT</t>
  </si>
  <si>
    <t xml:space="preserve">309840</t>
  </si>
  <si>
    <t xml:space="preserve">MADRASAH TSANAWIYAH NEGERI 2 BANDUNG KOTA BANDUNG</t>
  </si>
  <si>
    <t xml:space="preserve">309857</t>
  </si>
  <si>
    <t xml:space="preserve">MADRASAH TSANAWIYAH NEGERI 1 BANDUNG KAB. BANDUNG</t>
  </si>
  <si>
    <t xml:space="preserve">416377</t>
  </si>
  <si>
    <t xml:space="preserve">KANWIL KEMENTERIAN AGAMA PROP. JAWA BARAT</t>
  </si>
  <si>
    <t xml:space="preserve">416378</t>
  </si>
  <si>
    <t xml:space="preserve">416379</t>
  </si>
  <si>
    <t xml:space="preserve">416381</t>
  </si>
  <si>
    <t xml:space="preserve">416382</t>
  </si>
  <si>
    <t xml:space="preserve">416383</t>
  </si>
  <si>
    <t xml:space="preserve">KANTOR KEMENTERIAN AGAMA KOTA BANDUNG</t>
  </si>
  <si>
    <t xml:space="preserve">416384</t>
  </si>
  <si>
    <t xml:space="preserve">416385</t>
  </si>
  <si>
    <t xml:space="preserve">416387</t>
  </si>
  <si>
    <t xml:space="preserve">416388</t>
  </si>
  <si>
    <t xml:space="preserve">416392</t>
  </si>
  <si>
    <t xml:space="preserve">KANTOR KEMENTERIAN AGAMA KAB. BANDUNG</t>
  </si>
  <si>
    <t xml:space="preserve">416393</t>
  </si>
  <si>
    <t xml:space="preserve">416394</t>
  </si>
  <si>
    <t xml:space="preserve">416403</t>
  </si>
  <si>
    <t xml:space="preserve">MADRASAH ALIYAH NEGERI BANDUNG KOTA BANDUNG</t>
  </si>
  <si>
    <t xml:space="preserve">416412</t>
  </si>
  <si>
    <t xml:space="preserve">MADRASAH TSANAWIYAH NEGERI SUKASARI KOTA CIMAHI</t>
  </si>
  <si>
    <t xml:space="preserve">416428</t>
  </si>
  <si>
    <t xml:space="preserve">MADRASAH TSANAWIYAH NEGERI RONGGA KAB. BANDUNG BARAT</t>
  </si>
  <si>
    <t xml:space="preserve">426179</t>
  </si>
  <si>
    <t xml:space="preserve">BALAI PENDIDIKAN DAN PELATIHAN KEAGAMAAN BANDUNG</t>
  </si>
  <si>
    <t xml:space="preserve">537081</t>
  </si>
  <si>
    <t xml:space="preserve">MADRASAH ALIYAH NEGERI II CIJERAH KOTA BANDUNG</t>
  </si>
  <si>
    <t xml:space="preserve">553310</t>
  </si>
  <si>
    <t xml:space="preserve">MADRASAH TSANAWIYAH NEGERI CILILIN KAB. BANDUNG BARAT</t>
  </si>
  <si>
    <t xml:space="preserve">553900</t>
  </si>
  <si>
    <t xml:space="preserve">MADRASAH TSANAWIYAH NEGERI CELAK GUNUNG HALU KAB. BANDUNG BARAT</t>
  </si>
  <si>
    <t xml:space="preserve">572903</t>
  </si>
  <si>
    <t xml:space="preserve">MADRASAH TSANAWIYAH NEGERI 2 BANDUNG KAB. BANDUNG</t>
  </si>
  <si>
    <t xml:space="preserve">572910</t>
  </si>
  <si>
    <t xml:space="preserve">MADRASAH TSANAWIYAH NEGERI CIKALONG WETAN KAB.BANDUNG BARAT</t>
  </si>
  <si>
    <t xml:space="preserve">572924</t>
  </si>
  <si>
    <t xml:space="preserve">MADRASAH TSANAWIYAH NEGERI 3 BANDUNG</t>
  </si>
  <si>
    <t xml:space="preserve">597832</t>
  </si>
  <si>
    <t xml:space="preserve">MADRASAH TSANAWIYAH NEGERI BATUJAJAR KAB. BANDUNG BARAT</t>
  </si>
  <si>
    <t xml:space="preserve">597892</t>
  </si>
  <si>
    <t xml:space="preserve">MADRASAH ALIYAH NEGERI CIPARAY KAB. BANDUNG</t>
  </si>
  <si>
    <t xml:space="preserve">597900</t>
  </si>
  <si>
    <t xml:space="preserve">MADRASAH ALIYAH NEGERI MAJALAYA KAB. BANDUNG</t>
  </si>
  <si>
    <t xml:space="preserve">650151</t>
  </si>
  <si>
    <t xml:space="preserve">KANTOR KEMENTERIAN AGAMA KOTA CIMAHI</t>
  </si>
  <si>
    <t xml:space="preserve">650152</t>
  </si>
  <si>
    <t xml:space="preserve">650153</t>
  </si>
  <si>
    <t xml:space="preserve">675230</t>
  </si>
  <si>
    <t xml:space="preserve">MADRASAH ALIYAH NEGERI CIMAHI</t>
  </si>
  <si>
    <t xml:space="preserve">681492</t>
  </si>
  <si>
    <t xml:space="preserve">KANTOR KEMENTERIAN AGAMA KABUPATEN BANDUNG BARAT</t>
  </si>
  <si>
    <t xml:space="preserve">681494</t>
  </si>
  <si>
    <t xml:space="preserve">681495</t>
  </si>
  <si>
    <t xml:space="preserve">681496</t>
  </si>
  <si>
    <t xml:space="preserve">KEMENTERIAN KEHUTANAN                            </t>
  </si>
  <si>
    <t xml:space="preserve">693579</t>
  </si>
  <si>
    <t xml:space="preserve">BALAI BESAR KONSERVASI SUMBER DAYA ALAM JAWA BARAT</t>
  </si>
  <si>
    <t xml:space="preserve">693542</t>
  </si>
  <si>
    <t xml:space="preserve">BALAI PENGELOLAAN DAS DAN HUTAN LINDUNG CIMANUK CITANDUY</t>
  </si>
  <si>
    <t xml:space="preserve">032</t>
  </si>
  <si>
    <t xml:space="preserve">KEMENTERIAN KELAUTAN DAN PERIKANAN                                    </t>
  </si>
  <si>
    <t xml:space="preserve">690926</t>
  </si>
  <si>
    <t xml:space="preserve">DINAS PERIKANAN DAN KELAUTAN PROVINSI JAWA BARAT</t>
  </si>
  <si>
    <t xml:space="preserve">KEMENTERIAN PEKERJAAN UMUM DAN PERUMAHAN RAKYAT                       </t>
  </si>
  <si>
    <t xml:space="preserve">693794</t>
  </si>
  <si>
    <t xml:space="preserve">PELAKSANAAN JALAN NASIONAL WILAYAH III PROVINSI JAWA BARAT</t>
  </si>
  <si>
    <t xml:space="preserve">694258</t>
  </si>
  <si>
    <t xml:space="preserve">SNVT AIR TANAH DAN AIR BAKU BBWS CITARUM</t>
  </si>
  <si>
    <t xml:space="preserve">694009</t>
  </si>
  <si>
    <t xml:space="preserve">BALAI PENATAAN BANGUNAN, PRASARANA DAN KAWASAN JAWA BARAT</t>
  </si>
  <si>
    <t xml:space="preserve">693802</t>
  </si>
  <si>
    <t xml:space="preserve">BALAI BAHAN JALAN</t>
  </si>
  <si>
    <t xml:space="preserve">693981</t>
  </si>
  <si>
    <t xml:space="preserve">BALAI KAWASAN PERMUKIMAN DAN PERUMAHAN</t>
  </si>
  <si>
    <t xml:space="preserve">694424</t>
  </si>
  <si>
    <t xml:space="preserve">PUSAT PENGEMBANGAN KOMPETENSI BINA MARGA, PEMBIAYAAN INFRASTRUKTUR DAN PENGEMBANGAN INFRASTRUKTUR WILAYAH</t>
  </si>
  <si>
    <t xml:space="preserve">693748</t>
  </si>
  <si>
    <t xml:space="preserve">DINAS BINA MARGA PROV. JAWA BARAT</t>
  </si>
  <si>
    <t xml:space="preserve">694037</t>
  </si>
  <si>
    <t xml:space="preserve">PELAKSANAAN PRASARANA PERMUKIMAN WILAYAH II PROVINSI JAWA BARAT</t>
  </si>
  <si>
    <t xml:space="preserve">694203</t>
  </si>
  <si>
    <t xml:space="preserve">SNVT PELAKSANAAN JARINGAN SUMBER AIR CITARUM</t>
  </si>
  <si>
    <t xml:space="preserve">693830</t>
  </si>
  <si>
    <t xml:space="preserve">PERENCANAAN DAN PENGAWASAN JALAN NASIONAL PROVINSI JABAR</t>
  </si>
  <si>
    <t xml:space="preserve">693804</t>
  </si>
  <si>
    <t xml:space="preserve">BALAI GEOTEKNIK, TEROWONGAN DAN STRUKTUR</t>
  </si>
  <si>
    <t xml:space="preserve">694389</t>
  </si>
  <si>
    <t xml:space="preserve">BALAI PELAKSANA PEMILIHAN JASA KONSTRUKSI WILAYAH JAWA BARAT</t>
  </si>
  <si>
    <t xml:space="preserve">693896</t>
  </si>
  <si>
    <t xml:space="preserve">PELAKSANAAN JALAN BEBAS HAMBATAN PROVINSI JAWA BARAT</t>
  </si>
  <si>
    <t xml:space="preserve">694425</t>
  </si>
  <si>
    <t xml:space="preserve">BALAI PENGEMBANGAN KOMPETENSI PEKERJAAN UMUM DAN PERUMAHAN RAKYAT WILAYAH IV BANDUNG</t>
  </si>
  <si>
    <t xml:space="preserve">694423</t>
  </si>
  <si>
    <t xml:space="preserve">PUSAT PENGEMBANGAN KOMPETENSI SUMBER DAYA AIR, CIPTA KARYA DAN PRASARANA STRATEGIS</t>
  </si>
  <si>
    <t xml:space="preserve">693867</t>
  </si>
  <si>
    <t xml:space="preserve">PELAKSANAAN JALAN NASIONAL WILAYAH IV PROVINSI JAWA BARAT</t>
  </si>
  <si>
    <t xml:space="preserve">694069</t>
  </si>
  <si>
    <t xml:space="preserve">OPERASI DAN PEMELIHARAAN SUMBER DAYA AIR CITARUM</t>
  </si>
  <si>
    <t xml:space="preserve">694038</t>
  </si>
  <si>
    <t xml:space="preserve">PELAKSANAAN PRASARANA PERMUKIMAN WILAYAH I PROVINSI JAWA BARAT</t>
  </si>
  <si>
    <t xml:space="preserve">694163</t>
  </si>
  <si>
    <t xml:space="preserve">BALAI HIDROLOGI DAN LINGKUNGAN KEAIRAN</t>
  </si>
  <si>
    <t xml:space="preserve">693803</t>
  </si>
  <si>
    <t xml:space="preserve">BALAI JEMBATAN</t>
  </si>
  <si>
    <t xml:space="preserve">693811</t>
  </si>
  <si>
    <t xml:space="preserve">BALAI BESAR PELAKSANAAN JALAN NASIONAL DKI JAKARTA - JAWA BARAT</t>
  </si>
  <si>
    <t xml:space="preserve">693805</t>
  </si>
  <si>
    <t xml:space="preserve">BALAI PERKERASAN DAN LINGKUNGAN JALAN</t>
  </si>
  <si>
    <t xml:space="preserve">693895</t>
  </si>
  <si>
    <t xml:space="preserve">PELAKSANAAN JALAN NASIONAL WILAYAH II PROVINSI JABAR</t>
  </si>
  <si>
    <t xml:space="preserve">694280</t>
  </si>
  <si>
    <t xml:space="preserve">BALAI BESAR WILAYAH SUNGAI CITARUM</t>
  </si>
  <si>
    <t xml:space="preserve">694161</t>
  </si>
  <si>
    <t xml:space="preserve">BALAI HIDROLIKA DAN GEOTEKNIK KEAIRAN</t>
  </si>
  <si>
    <t xml:space="preserve">694162</t>
  </si>
  <si>
    <t xml:space="preserve">BALAI AIR TANAH</t>
  </si>
  <si>
    <t xml:space="preserve">691268</t>
  </si>
  <si>
    <t xml:space="preserve">SNVT PEMBANGUNAN BENDUNGAN II BBWS CITARUM</t>
  </si>
  <si>
    <t xml:space="preserve">694259</t>
  </si>
  <si>
    <t xml:space="preserve">SNVT PEMBANGUNAN BENDUNGAN I BBWS CITARUM</t>
  </si>
  <si>
    <t xml:space="preserve">693800</t>
  </si>
  <si>
    <t xml:space="preserve">DIREKTORAT BINA TEKNIK JALAN DAN JEMBATAN</t>
  </si>
  <si>
    <t xml:space="preserve">693979</t>
  </si>
  <si>
    <t xml:space="preserve">BALAI BAHAN DAN STRUKTUR BANGUNAN GEDUNG</t>
  </si>
  <si>
    <t xml:space="preserve">694204</t>
  </si>
  <si>
    <t xml:space="preserve">SNVT PELAKSANAAN JARINGAN PEMANFAATAN AIR CITARUM</t>
  </si>
  <si>
    <t xml:space="preserve">693980</t>
  </si>
  <si>
    <t xml:space="preserve">BALAI SAINS BANGUNAN</t>
  </si>
  <si>
    <t xml:space="preserve">694072</t>
  </si>
  <si>
    <t xml:space="preserve">DINAS SUMBER DAYA AIR PROVINSI JAWA BARAT</t>
  </si>
  <si>
    <t xml:space="preserve">691294</t>
  </si>
  <si>
    <t xml:space="preserve">PELAKSANAAN PRASARANA STRATEGIS JAWA BARAT</t>
  </si>
  <si>
    <t xml:space="preserve">054</t>
  </si>
  <si>
    <t xml:space="preserve">BADAN PUSAT STATISTIK                                                 </t>
  </si>
  <si>
    <t xml:space="preserve">018597</t>
  </si>
  <si>
    <t xml:space="preserve">BADAN PUSAT STATISTIK PROP. JAWA BARAT</t>
  </si>
  <si>
    <t xml:space="preserve">018602</t>
  </si>
  <si>
    <t xml:space="preserve">BADAN PUSAT STATISTIK KOTA BANDUNG</t>
  </si>
  <si>
    <t xml:space="preserve">018619</t>
  </si>
  <si>
    <t xml:space="preserve">BADAN PUSAT STATISTIK KAB. BANDUNG</t>
  </si>
  <si>
    <t xml:space="preserve">652229</t>
  </si>
  <si>
    <t xml:space="preserve">BADAN PUSAT STATISTIK KOTA CIMAHI</t>
  </si>
  <si>
    <t xml:space="preserve">673542</t>
  </si>
  <si>
    <t xml:space="preserve">BADAN PUSAT STATISTIK KAB. BANDUNG BARAT</t>
  </si>
  <si>
    <t xml:space="preserve">059</t>
  </si>
  <si>
    <t xml:space="preserve">KEMENTERIAN KOMUNIKASI DAN INFORMATIKA                                </t>
  </si>
  <si>
    <t xml:space="preserve">432659</t>
  </si>
  <si>
    <t xml:space="preserve">BALAI PENGEMBANGAN SUMBER DAYA MANUSIA DAN PENELITIAN KOMUNIKASI DAN INFORMATIKA BANDUNG</t>
  </si>
  <si>
    <t xml:space="preserve">694695</t>
  </si>
  <si>
    <t xml:space="preserve">BALAI MONITOR SPEKTRUM FREKUENSI RADIO KELAS I BANDUNG</t>
  </si>
  <si>
    <t xml:space="preserve">063</t>
  </si>
  <si>
    <t xml:space="preserve">BADAN PENGAWAS OBAT DAN MAKANAN                                       </t>
  </si>
  <si>
    <t xml:space="preserve">432753</t>
  </si>
  <si>
    <t xml:space="preserve">BALAI BESAR PENGAWAS OBAT DAN MAKANAN BANDUNG</t>
  </si>
  <si>
    <t xml:space="preserve">068</t>
  </si>
  <si>
    <t xml:space="preserve">BADAN KEPENDUDUKAN DAN KELUARGA BERENCANA NASIONAL                    </t>
  </si>
  <si>
    <t xml:space="preserve">017393</t>
  </si>
  <si>
    <t xml:space="preserve">PERWAKILAN BADAN KEPENDUDUKAN DAN KELUARGA BERENCANA NASIONAL PROVINSI JAWA BARAT</t>
  </si>
  <si>
    <t xml:space="preserve">075</t>
  </si>
  <si>
    <t xml:space="preserve">BADAN METEOROLOGI, KLIMATOLOGI DAN GEOFISIKA                          </t>
  </si>
  <si>
    <t xml:space="preserve">436781</t>
  </si>
  <si>
    <t xml:space="preserve">STASIUN GEOFISIKA BANDUNG</t>
  </si>
  <si>
    <t xml:space="preserve">086</t>
  </si>
  <si>
    <t xml:space="preserve">LEMBAGA ADMINISTRASI NEGARA                                           </t>
  </si>
  <si>
    <t xml:space="preserve">450423</t>
  </si>
  <si>
    <t xml:space="preserve">PUSAT PELATIHAN DAN PENGEMBANGAN DAN PEMETAAN KOMPETENSI ASN</t>
  </si>
  <si>
    <t xml:space="preserve">662635</t>
  </si>
  <si>
    <t xml:space="preserve">STIA-LAN BANDUNG</t>
  </si>
  <si>
    <t xml:space="preserve">088</t>
  </si>
  <si>
    <t xml:space="preserve">BADAN KEPEGAWAIAN NEGARA                                              </t>
  </si>
  <si>
    <t xml:space="preserve">017237</t>
  </si>
  <si>
    <t xml:space="preserve">KANTOR REGIONAL III BADAN KEPEGAWAIAN NEGARA BANDUNG</t>
  </si>
  <si>
    <t xml:space="preserve">089</t>
  </si>
  <si>
    <t xml:space="preserve">BADAN PENGAWASAN  KEUANGAN DAN PEMBANGUNAN                            </t>
  </si>
  <si>
    <t xml:space="preserve">450511</t>
  </si>
  <si>
    <t xml:space="preserve">PERWAKILAN BPKP PROP. JAWA BARAT</t>
  </si>
  <si>
    <t xml:space="preserve">115</t>
  </si>
  <si>
    <t xml:space="preserve">BADAN PENGAWAS PEMILIHAN UMUM                                        </t>
  </si>
  <si>
    <t xml:space="preserve">419576</t>
  </si>
  <si>
    <t xml:space="preserve">SEKRETARIAT BAWASLU KABUPATEN BANDUNG</t>
  </si>
  <si>
    <t xml:space="preserve">686307</t>
  </si>
  <si>
    <t xml:space="preserve">SEKRETARIAT BAWASLU PROVINSI JAWA BARAT</t>
  </si>
  <si>
    <t xml:space="preserve">KEMENTERIAN HAJI DAN UMRAH</t>
  </si>
  <si>
    <t xml:space="preserve">695014</t>
  </si>
  <si>
    <t xml:space="preserve">KANTOR KEMENTERIAN HAJI DAN UMRAH KAB. BANDUNG</t>
  </si>
  <si>
    <t xml:space="preserve">695023</t>
  </si>
  <si>
    <t xml:space="preserve">KANTOR KEMENTERIAN HAJI DAN UMRAH KAB. BANDUNG BARAT</t>
  </si>
  <si>
    <t xml:space="preserve">695032</t>
  </si>
  <si>
    <t xml:space="preserve">KANTOR KEMENTERIAN HAJI DAN UMRAH KOTA CIMAHI</t>
  </si>
  <si>
    <t xml:space="preserve">695006</t>
  </si>
  <si>
    <t xml:space="preserve">KANWIL KEMENTERIAN HAJI DAN UMRAH PROVINSI JAWA BARAT</t>
  </si>
  <si>
    <t xml:space="preserve">695025</t>
  </si>
  <si>
    <t xml:space="preserve">KANTOR KEMENTERIAN HAJI DAN UMRAH KOTA BANDUNG</t>
  </si>
  <si>
    <t xml:space="preserve">REKAPITULASI LPJ BENDAHARA PENGELUARAN TINGKAT KPPN</t>
  </si>
  <si>
    <t xml:space="preserve">BA</t>
  </si>
  <si>
    <t xml:space="preserve">SATKER</t>
  </si>
  <si>
    <t xml:space="preserve">TGL KIRIM</t>
  </si>
  <si>
    <t xml:space="preserve">TGL VALIDASI KPPN</t>
  </si>
  <si>
    <t xml:space="preserve">TGL TOLAKAN TERAKHIR</t>
  </si>
  <si>
    <t xml:space="preserve">KEWAJIBAN LPJ</t>
  </si>
  <si>
    <t xml:space="preserve">STATUS VALIDASI</t>
  </si>
  <si>
    <t xml:space="preserve">BP UP/TUP</t>
  </si>
  <si>
    <t xml:space="preserve">SALDO KAS</t>
  </si>
  <si>
    <t xml:space="preserve">KUITANSI</t>
  </si>
  <si>
    <t xml:space="preserve">DAFTAR LPJ PENERIMAAN</t>
  </si>
  <si>
    <t xml:space="preserve">KODE </t>
  </si>
  <si>
    <t xml:space="preserve">SALDO PENERIMAAN DAN PENYETORAN</t>
  </si>
  <si>
    <t xml:space="preserve">KAS TUNAI</t>
  </si>
  <si>
    <t xml:space="preserve">KAS BANK</t>
  </si>
  <si>
    <t xml:space="preserve">SALDO AWAL</t>
  </si>
  <si>
    <t xml:space="preserve">PENERIMAAN</t>
  </si>
  <si>
    <t xml:space="preserve">PENYETORAN</t>
  </si>
  <si>
    <t xml:space="preserve">029</t>
  </si>
  <si>
    <t xml:space="preserve">KEMENTERIAN LINGKUNGAN HIDUP DAN KEHUTANAN                            </t>
  </si>
  <si>
    <t xml:space="preserve">REKAPITULASI LPJ BENDAHARA PENERIMAAN TINGKAT KPPN</t>
  </si>
  <si>
    <t xml:space="preserve">SALDO AWAL PNBP</t>
  </si>
  <si>
    <t xml:space="preserve">PENERIMAAN PNBP</t>
  </si>
  <si>
    <t xml:space="preserve">PENYETORAN PNBP</t>
  </si>
  <si>
    <t xml:space="preserve">SALDO PNBP</t>
  </si>
  <si>
    <t xml:space="preserve">REKAPITULASI BENDAHARA BADAN LAYANAN UMUM</t>
  </si>
  <si>
    <t xml:space="preserve">PENDAPATAN</t>
  </si>
  <si>
    <t xml:space="preserve">HIBAH</t>
  </si>
  <si>
    <t xml:space="preserve">BP LS</t>
  </si>
  <si>
    <t xml:space="preserve">BP</t>
  </si>
  <si>
    <t xml:space="preserve">BP DANA</t>
  </si>
  <si>
    <t xml:space="preserve">BENDAHARA</t>
  </si>
  <si>
    <t xml:space="preserve">PAJAK</t>
  </si>
  <si>
    <t xml:space="preserve">UPK</t>
  </si>
  <si>
    <t xml:space="preserve">TITIPAN</t>
  </si>
  <si>
    <t xml:space="preserve">BERGULIR</t>
  </si>
  <si>
    <t xml:space="preserve">LAIN-LAIN</t>
  </si>
  <si>
    <t xml:space="preserve">344808</t>
  </si>
  <si>
    <t xml:space="preserve">RSAU DR. MOH. SALAMUN</t>
  </si>
  <si>
    <t xml:space="preserve">418383</t>
  </si>
  <si>
    <t xml:space="preserve">RUMKIT TK.II DUSTIRA KESDAM III/SLW</t>
  </si>
  <si>
    <t xml:space="preserve">423523</t>
  </si>
  <si>
    <t xml:space="preserve">UNIVERSITAS ISLAM NEGERI SUNAN GUNUNG JATI BANDUNG</t>
  </si>
  <si>
    <t xml:space="preserve">REKAPITULASI LPJ BLU TINGKAT KPPN</t>
  </si>
  <si>
    <t xml:space="preserve">BP PENDAPATAN</t>
  </si>
  <si>
    <t xml:space="preserve">BP UANG PIHAK KETIGA</t>
  </si>
  <si>
    <t xml:space="preserve">BP UANG TITIPAN</t>
  </si>
  <si>
    <t xml:space="preserve">BP DANA BERGULIR</t>
  </si>
  <si>
    <t xml:space="preserve">BP HIBAH/DONASI/SUMBANGAN</t>
  </si>
  <si>
    <t xml:space="preserve">SALDO UP</t>
  </si>
  <si>
    <t xml:space="preserve">KUITANSI BELUM GU</t>
  </si>
  <si>
    <t xml:space="preserve">JUMLAH UP</t>
  </si>
  <si>
    <t xml:space="preserve">SALDO PEND</t>
  </si>
  <si>
    <t xml:space="preserve">PENDAPATAN BELUM DISAHKAN</t>
  </si>
  <si>
    <t xml:space="preserve">JUMLAH PEND</t>
  </si>
  <si>
    <t xml:space="preserve">SALDO HIBAH</t>
  </si>
  <si>
    <t xml:space="preserve">HIBAH/DONASI/SUMBANG BELUM DISAHKAN</t>
  </si>
  <si>
    <t xml:space="preserve">JUMLAH HIBAH</t>
  </si>
  <si>
    <t xml:space="preserve">Laporan</t>
  </si>
  <si>
    <t xml:space="preserve">Paste</t>
  </si>
  <si>
    <t xml:space="preserve">020016</t>
  </si>
  <si>
    <t xml:space="preserve">020100</t>
  </si>
  <si>
    <t xml:space="preserve">026221</t>
  </si>
  <si>
    <t xml:space="preserve">029089</t>
  </si>
  <si>
    <t xml:space="preserve">029090</t>
  </si>
  <si>
    <t xml:space="preserve">029091</t>
  </si>
  <si>
    <t xml:space="preserve">029092</t>
  </si>
  <si>
    <t xml:space="preserve">029172</t>
  </si>
  <si>
    <t xml:space="preserve">029351</t>
  </si>
  <si>
    <t xml:space="preserve">029515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</si>
</sst>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#,##0"/>
    <numFmt numFmtId="168" formatCode="_-* #,##0_-;\-* #,##0_-;_-* \-_-;_-@_-"/>
  </numFmts>
  <fonts count="2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9"/>
      <color rgb="FF3E4B5B"/>
      <name val="Segoe UI"/>
      <family val="2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5"/>
        <bgColor rgb="FFD9D9D9"/>
      </patternFill>
    </fill>
    <fill>
      <patternFill patternType="solid">
        <fgColor theme="3" tint="0.5999"/>
        <bgColor rgb="FF8DB4E2"/>
      </patternFill>
    </fill>
    <fill>
      <patternFill patternType="solid">
        <fgColor rgb="FF8DB4E2"/>
        <bgColor rgb="FF8EB4E3"/>
      </patternFill>
    </fill>
    <fill>
      <patternFill patternType="solid">
        <fgColor theme="0"/>
        <bgColor rgb="FFFFFFCC"/>
      </patternFill>
    </fill>
    <fill>
      <patternFill patternType="solid">
        <fgColor theme="4" tint="0.3999"/>
        <bgColor rgb="FF8EB4E3"/>
      </patternFill>
    </fill>
    <fill>
      <patternFill patternType="solid">
        <fgColor rgb="FFFFF59D"/>
        <bgColor rgb="FFFFFFCC"/>
      </patternFill>
    </fill>
    <fill>
      <patternFill patternType="solid">
        <fgColor rgb="FFD9E1F2"/>
        <bgColor rgb="FFD9D9D9"/>
      </patternFill>
    </fill>
    <fill>
      <patternFill patternType="solid">
        <fgColor theme="0" tint="-0.15"/>
        <bgColor rgb="FFD9E1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4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5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3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3" fillId="5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4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6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2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4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9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11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9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4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9" fillId="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4" fillId="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9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DB4E2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8EB4E3"/>
      <rgbColor rgb="FFFF99CC"/>
      <rgbColor rgb="FF95B3D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1F4E78"/>
      <rgbColor rgb="FF3E4B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1" customFormat="false" ht="19.7" hidden="false" customHeight="false" outlineLevel="0" collapsed="false">
      <c r="B1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3</v>
      </c>
    </row>
    <row r="14" customFormat="false" ht="15" hidden="false" customHeight="false" outlineLevel="0" collapsed="false">
      <c r="B14" s="4" t="s">
        <v>4</v>
      </c>
    </row>
    <row r="15" customFormat="false" ht="15" hidden="false" customHeight="false" outlineLevel="0" collapsed="false">
      <c r="B15" s="4" t="s">
        <v>5</v>
      </c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4" t="s">
        <v>7</v>
      </c>
    </row>
    <row r="19" customFormat="false" ht="15" hidden="false" customHeight="false" outlineLevel="0" collapsed="false">
      <c r="B19" s="3" t="s">
        <v>11</v>
      </c>
    </row>
    <row r="20" customFormat="false" ht="15" hidden="false" customHeight="false" outlineLevel="0" collapsed="false">
      <c r="B20" s="4" t="s">
        <v>12</v>
      </c>
    </row>
    <row r="21" customFormat="false" ht="15" hidden="false" customHeight="false" outlineLevel="0" collapsed="false">
      <c r="B21" s="4" t="s">
        <v>3</v>
      </c>
    </row>
    <row r="22" customFormat="false" ht="15" hidden="false" customHeight="false" outlineLevel="0" collapsed="false">
      <c r="B22" s="4" t="s">
        <v>4</v>
      </c>
    </row>
    <row r="23" customFormat="false" ht="15" hidden="false" customHeight="false" outlineLevel="0" collapsed="false">
      <c r="B23" s="4" t="s">
        <v>5</v>
      </c>
    </row>
    <row r="24" customFormat="false" ht="15" hidden="false" customHeight="false" outlineLevel="0" collapsed="false">
      <c r="B24" s="4" t="s">
        <v>13</v>
      </c>
    </row>
    <row r="25" customFormat="false" ht="15" hidden="false" customHeight="false" outlineLevel="0" collapsed="false">
      <c r="B25" s="4" t="s">
        <v>7</v>
      </c>
    </row>
    <row r="27" customFormat="false" ht="15" hidden="false" customHeight="false" outlineLevel="0" collapsed="false">
      <c r="B27" s="5" t="s">
        <v>14</v>
      </c>
    </row>
    <row r="29" customFormat="false" ht="15" hidden="false" customHeight="false" outlineLevel="0" collapsed="false">
      <c r="B2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M203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6" topLeftCell="A22" activePane="bottomLeft" state="frozen"/>
      <selection pane="topLeft" activeCell="A1" activeCellId="0" sqref="A1"/>
      <selection pane="bottomLeft" activeCell="M13" activeCellId="0" sqref="M13"/>
    </sheetView>
  </sheetViews>
  <sheetFormatPr defaultColWidth="8.62109375" defaultRowHeight="15.75" customHeight="true" zeroHeight="false" outlineLevelRow="0" outlineLevelCol="0"/>
  <cols>
    <col collapsed="false" customWidth="true" hidden="false" outlineLevel="0" max="1" min="1" style="1" width="8.37"/>
    <col collapsed="false" customWidth="true" hidden="false" outlineLevel="0" max="2" min="2" style="1" width="11.12"/>
    <col collapsed="false" customWidth="true" hidden="false" outlineLevel="0" max="3" min="3" style="6" width="46.5"/>
    <col collapsed="false" customWidth="true" hidden="false" outlineLevel="0" max="4" min="4" style="7" width="16.25"/>
    <col collapsed="false" customWidth="true" hidden="false" outlineLevel="0" max="5" min="5" style="7" width="14.63"/>
    <col collapsed="false" customWidth="true" hidden="false" outlineLevel="0" max="6" min="6" style="7" width="15"/>
    <col collapsed="false" customWidth="true" hidden="false" outlineLevel="0" max="7" min="7" style="7" width="20.12"/>
    <col collapsed="false" customWidth="true" hidden="false" outlineLevel="0" max="8" min="8" style="7" width="14.37"/>
    <col collapsed="false" customWidth="true" hidden="false" outlineLevel="0" max="9" min="9" style="7" width="20.12"/>
    <col collapsed="false" customWidth="true" hidden="false" outlineLevel="0" max="10" min="10" style="7" width="16.37"/>
    <col collapsed="false" customWidth="true" hidden="false" outlineLevel="0" max="12" min="11" style="7" width="15.5"/>
    <col collapsed="false" customWidth="true" hidden="false" outlineLevel="0" max="13" min="13" style="1" width="26.13"/>
  </cols>
  <sheetData>
    <row r="1" customFormat="false" ht="15.75" hidden="false" customHeight="false" outlineLevel="0" collapsed="false">
      <c r="A1" s="8"/>
      <c r="B1" s="8"/>
      <c r="C1" s="9" t="s">
        <v>16</v>
      </c>
      <c r="D1" s="9"/>
      <c r="E1" s="9"/>
      <c r="F1" s="9"/>
      <c r="G1" s="9"/>
      <c r="H1" s="9"/>
      <c r="I1" s="9"/>
      <c r="J1" s="9"/>
      <c r="K1" s="9"/>
    </row>
    <row r="2" customFormat="false" ht="15.75" hidden="false" customHeight="false" outlineLevel="0" collapsed="false">
      <c r="C2" s="9" t="s">
        <v>17</v>
      </c>
      <c r="D2" s="9"/>
      <c r="E2" s="9"/>
      <c r="F2" s="9"/>
      <c r="G2" s="9"/>
      <c r="H2" s="9"/>
      <c r="I2" s="9"/>
      <c r="J2" s="9"/>
      <c r="K2" s="9"/>
      <c r="M2" s="1" t="str">
        <f aca="false">C2</f>
        <v>BULAN JUNI TAHUN 2026</v>
      </c>
    </row>
    <row r="3" customFormat="false" ht="13.5" hidden="false" customHeight="true" outlineLevel="0" collapsed="false">
      <c r="A3" s="8" t="s">
        <v>18</v>
      </c>
      <c r="B3" s="8"/>
    </row>
    <row r="4" customFormat="false" ht="17.25" hidden="false" customHeight="true" outlineLevel="0" collapsed="false">
      <c r="A4" s="10" t="s">
        <v>19</v>
      </c>
      <c r="B4" s="11" t="s">
        <v>20</v>
      </c>
      <c r="C4" s="11" t="s">
        <v>21</v>
      </c>
      <c r="D4" s="12" t="s">
        <v>22</v>
      </c>
      <c r="E4" s="12"/>
      <c r="F4" s="12"/>
      <c r="G4" s="12"/>
      <c r="H4" s="12"/>
      <c r="I4" s="12"/>
      <c r="J4" s="12" t="s">
        <v>23</v>
      </c>
      <c r="K4" s="12"/>
      <c r="L4" s="12"/>
    </row>
    <row r="5" customFormat="false" ht="11.25" hidden="false" customHeight="true" outlineLevel="0" collapsed="false">
      <c r="A5" s="10"/>
      <c r="B5" s="10"/>
      <c r="C5" s="10"/>
      <c r="D5" s="13" t="s">
        <v>24</v>
      </c>
      <c r="E5" s="14" t="s">
        <v>25</v>
      </c>
      <c r="F5" s="13" t="s">
        <v>26</v>
      </c>
      <c r="G5" s="13" t="s">
        <v>27</v>
      </c>
      <c r="H5" s="13" t="s">
        <v>28</v>
      </c>
      <c r="I5" s="13" t="s">
        <v>29</v>
      </c>
      <c r="J5" s="13" t="s">
        <v>30</v>
      </c>
      <c r="K5" s="13" t="s">
        <v>31</v>
      </c>
      <c r="L5" s="13" t="s">
        <v>29</v>
      </c>
    </row>
    <row r="6" customFormat="false" ht="21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customFormat="false" ht="15.75" hidden="false" customHeight="true" outlineLevel="0" collapsed="false">
      <c r="A7" s="15"/>
      <c r="B7" s="16" t="s">
        <v>32</v>
      </c>
      <c r="C7" s="17" t="s">
        <v>33</v>
      </c>
      <c r="D7" s="18" t="n">
        <f aca="false">SUM(D8+D9+D10+D11+D12+D13+D14+D15+D16+D17+D18+D19+D20+D21+D22+D23+D24+D25+D26+D27)</f>
        <v>0</v>
      </c>
      <c r="E7" s="18" t="n">
        <f aca="false">SUM(E8+E9+E10+E11+E12+E13+E14+E15+E16+E17+E18+E19+E20+E21+E22+E23+E24+E25+E26+E27)</f>
        <v>0</v>
      </c>
      <c r="F7" s="18" t="n">
        <f aca="false">SUM(F8+F9+F10+F11+F12+F13+F14+F15+F16+F17+F18+F19+F20+F21+F22+F23+F24+F25+F26+F27)</f>
        <v>0</v>
      </c>
      <c r="G7" s="18" t="n">
        <f aca="false">SUM(G8+G9+G10+G11+G12+G13+G14+G15+G16+G17+G18+G19+G20+G21+G22+G23+G24+G25+G26+G27)</f>
        <v>0</v>
      </c>
      <c r="H7" s="18" t="n">
        <f aca="false">SUM(H8+H9+H10+H11+H12+H13+H14+H15+H16+H17+H18+H19+H20+H21+H22+H23+H24+H25+H26+H27)</f>
        <v>0</v>
      </c>
      <c r="I7" s="18" t="n">
        <f aca="false">SUM(D7+E7+F7+G7+H7)</f>
        <v>0</v>
      </c>
      <c r="J7" s="18" t="n">
        <f aca="false">SUM(J8+J9+J10+J11+J12+J13+J14+J15+J16+J17+J18+J19+J20+J21+J22+J23+J24+J25+J26+J27)</f>
        <v>0</v>
      </c>
      <c r="K7" s="18" t="n">
        <f aca="false">SUM(K8+K9+K10+K11+K12+K13+K14+K15+K16+K17+K18+K19+K20+K21+K22+K23+K24+K25+K26+K27)</f>
        <v>0</v>
      </c>
      <c r="L7" s="18" t="n">
        <f aca="false">J7+K7</f>
        <v>0</v>
      </c>
    </row>
    <row r="8" customFormat="false" ht="15.75" hidden="false" customHeight="true" outlineLevel="0" collapsed="false">
      <c r="A8" s="19" t="n">
        <v>1</v>
      </c>
      <c r="B8" s="20" t="s">
        <v>34</v>
      </c>
      <c r="C8" s="21" t="s">
        <v>35</v>
      </c>
      <c r="D8" s="22" t="n">
        <f aca="false">IFERROR(VALUE(SUBSTITUTE(INDEX('Paste BPG'!$A:$Z,MATCH($B8,'Paste BPG'!$C:$C,0),MATCH("BP UP/TUP",'Paste BPG'!$3:$3,0)),".","")),0)</f>
        <v>0</v>
      </c>
      <c r="E8" s="23" t="n">
        <f aca="false">IFERROR(VALUE(SUBSTITUTE(INDEX('Paste BPG'!$A:$Z,MATCH($B8,'Paste BPG'!$C:$C,0),MATCH("BP LS BENDAHARA",'Paste BPG'!$3:$3,0)),".","")),0)</f>
        <v>0</v>
      </c>
      <c r="F8" s="23" t="n">
        <f aca="false">IFERROR(VALUE(SUBSTITUTE(INDEX('Paste BPG'!$A:$Z,MATCH($B8,'Paste BPG'!$C:$C,0),MATCH("BP PAJAK",'Paste BPG'!$3:$3,0)),".","")),0)</f>
        <v>0</v>
      </c>
      <c r="G8" s="23" t="n">
        <f aca="false">IFERROR(VALUE(SUBSTITUTE(INDEX('Paste BPG'!$A:$Z,MATCH($B8,'Paste BPG'!$C:$C,0),MATCH("BP HIBAH",'Paste BPG'!$3:$3,0)),".","")),0)</f>
        <v>0</v>
      </c>
      <c r="H8" s="23" t="n">
        <f aca="false">IFERROR(VALUE(SUBSTITUTE(INDEX('Paste BPG'!$A:$Z,MATCH($B8,'Paste BPG'!$C:$C,0),MATCH("BP LAIN-LAIN",'Paste BPG'!$3:$3,0)),".","")),0)</f>
        <v>0</v>
      </c>
      <c r="I8" s="24" t="n">
        <f aca="false">D8+E8+F8+G8+H8</f>
        <v>0</v>
      </c>
      <c r="J8" s="23" t="n">
        <f aca="false">D8</f>
        <v>0</v>
      </c>
      <c r="K8" s="23" t="n">
        <f aca="false">IFERROR(VALUE(SUBSTITUTE(INDEX('Paste BPG'!$A:$Z,MATCH($B8,'Paste BPG'!$C:$C,0),MATCH("KUITANSI",'Paste BPG'!$3:$3,0)),".","")),0)</f>
        <v>0</v>
      </c>
      <c r="L8" s="24" t="n">
        <f aca="false">J8+K8</f>
        <v>0</v>
      </c>
    </row>
    <row r="9" customFormat="false" ht="15.75" hidden="false" customHeight="true" outlineLevel="0" collapsed="false">
      <c r="A9" s="19" t="n">
        <v>2</v>
      </c>
      <c r="B9" s="20" t="s">
        <v>36</v>
      </c>
      <c r="C9" s="21" t="s">
        <v>37</v>
      </c>
      <c r="D9" s="25" t="n">
        <f aca="false">IFERROR(VALUE(SUBSTITUTE(INDEX('Paste BPG'!$A:$Z,MATCH($B9,'Paste BPG'!$C:$C,0),MATCH("BP UP/TUP",'Paste BPG'!$3:$3,0)),".","")),0)</f>
        <v>0</v>
      </c>
      <c r="E9" s="23" t="n">
        <f aca="false">IFERROR(VALUE(SUBSTITUTE(INDEX('Paste BPG'!$A:$Z,MATCH($B9,'Paste BPG'!$C:$C,0),MATCH("BP LS BENDAHARA",'Paste BPG'!$3:$3,0)),".","")),0)</f>
        <v>0</v>
      </c>
      <c r="F9" s="23" t="n">
        <f aca="false">IFERROR(VALUE(SUBSTITUTE(INDEX('Paste BPG'!$A:$Z,MATCH($B9,'Paste BPG'!$C:$C,0),MATCH("BP PAJAK",'Paste BPG'!$3:$3,0)),".","")),0)</f>
        <v>0</v>
      </c>
      <c r="G9" s="23" t="n">
        <f aca="false">IFERROR(VALUE(SUBSTITUTE(INDEX('Paste BPG'!$A:$Z,MATCH($B9,'Paste BPG'!$C:$C,0),MATCH("BP HIBAH",'Paste BPG'!$3:$3,0)),".","")),0)</f>
        <v>0</v>
      </c>
      <c r="H9" s="23" t="n">
        <f aca="false">IFERROR(VALUE(SUBSTITUTE(INDEX('Paste BPG'!$A:$Z,MATCH($B9,'Paste BPG'!$C:$C,0),MATCH("BP LAIN-LAIN",'Paste BPG'!$3:$3,0)),".","")),0)</f>
        <v>0</v>
      </c>
      <c r="I9" s="24" t="n">
        <f aca="false">D9+E9+F9+G9+H9</f>
        <v>0</v>
      </c>
      <c r="J9" s="23" t="n">
        <f aca="false">D9</f>
        <v>0</v>
      </c>
      <c r="K9" s="23" t="n">
        <f aca="false">IFERROR(VALUE(SUBSTITUTE(INDEX('Paste BPG'!$A:$Z,MATCH($B9,'Paste BPG'!$C:$C,0),MATCH("KUITANSI",'Paste BPG'!$3:$3,0)),".","")),0)</f>
        <v>0</v>
      </c>
      <c r="L9" s="24" t="n">
        <f aca="false">J9+K9</f>
        <v>0</v>
      </c>
    </row>
    <row r="10" customFormat="false" ht="15.75" hidden="false" customHeight="true" outlineLevel="0" collapsed="false">
      <c r="A10" s="19" t="n">
        <v>3</v>
      </c>
      <c r="B10" s="20" t="s">
        <v>38</v>
      </c>
      <c r="C10" s="21" t="s">
        <v>35</v>
      </c>
      <c r="D10" s="25" t="n">
        <f aca="false">IFERROR(VALUE(SUBSTITUTE(INDEX('Paste BPG'!$A:$Z,MATCH($B10,'Paste BPG'!$C:$C,0),MATCH("BP UP/TUP",'Paste BPG'!$3:$3,0)),".","")),0)</f>
        <v>0</v>
      </c>
      <c r="E10" s="23" t="n">
        <f aca="false">IFERROR(VALUE(SUBSTITUTE(INDEX('Paste BPG'!$A:$Z,MATCH($B10,'Paste BPG'!$C:$C,0),MATCH("BP LS BENDAHARA",'Paste BPG'!$3:$3,0)),".","")),0)</f>
        <v>0</v>
      </c>
      <c r="F10" s="23" t="n">
        <f aca="false">IFERROR(VALUE(SUBSTITUTE(INDEX('Paste BPG'!$A:$Z,MATCH($B10,'Paste BPG'!$C:$C,0),MATCH("BP PAJAK",'Paste BPG'!$3:$3,0)),".","")),0)</f>
        <v>0</v>
      </c>
      <c r="G10" s="23" t="n">
        <f aca="false">IFERROR(VALUE(SUBSTITUTE(INDEX('Paste BPG'!$A:$Z,MATCH($B10,'Paste BPG'!$C:$C,0),MATCH("BP HIBAH",'Paste BPG'!$3:$3,0)),".","")),0)</f>
        <v>0</v>
      </c>
      <c r="H10" s="23" t="n">
        <f aca="false">IFERROR(VALUE(SUBSTITUTE(INDEX('Paste BPG'!$A:$Z,MATCH($B10,'Paste BPG'!$C:$C,0),MATCH("BP LAIN-LAIN",'Paste BPG'!$3:$3,0)),".","")),0)</f>
        <v>0</v>
      </c>
      <c r="I10" s="24" t="n">
        <f aca="false">D10+E10+F10+G10+H10</f>
        <v>0</v>
      </c>
      <c r="J10" s="23" t="n">
        <f aca="false">D10</f>
        <v>0</v>
      </c>
      <c r="K10" s="23" t="n">
        <f aca="false">IFERROR(VALUE(SUBSTITUTE(INDEX('Paste BPG'!$A:$Z,MATCH($B10,'Paste BPG'!$C:$C,0),MATCH("KUITANSI",'Paste BPG'!$3:$3,0)),".","")),0)</f>
        <v>0</v>
      </c>
      <c r="L10" s="24" t="n">
        <f aca="false">J10+K10</f>
        <v>0</v>
      </c>
    </row>
    <row r="11" customFormat="false" ht="15.75" hidden="false" customHeight="true" outlineLevel="0" collapsed="false">
      <c r="A11" s="19" t="n">
        <v>4</v>
      </c>
      <c r="B11" s="20" t="s">
        <v>39</v>
      </c>
      <c r="C11" s="21" t="s">
        <v>37</v>
      </c>
      <c r="D11" s="25" t="n">
        <f aca="false">IFERROR(VALUE(SUBSTITUTE(INDEX('Paste BPG'!$A:$Z,MATCH($B11,'Paste BPG'!$C:$C,0),MATCH("BP UP/TUP",'Paste BPG'!$3:$3,0)),".","")),0)</f>
        <v>0</v>
      </c>
      <c r="E11" s="23" t="n">
        <f aca="false">IFERROR(VALUE(SUBSTITUTE(INDEX('Paste BPG'!$A:$Z,MATCH($B11,'Paste BPG'!$C:$C,0),MATCH("BP LS BENDAHARA",'Paste BPG'!$3:$3,0)),".","")),0)</f>
        <v>0</v>
      </c>
      <c r="F11" s="23" t="n">
        <f aca="false">IFERROR(VALUE(SUBSTITUTE(INDEX('Paste BPG'!$A:$Z,MATCH($B11,'Paste BPG'!$C:$C,0),MATCH("BP PAJAK",'Paste BPG'!$3:$3,0)),".","")),0)</f>
        <v>0</v>
      </c>
      <c r="G11" s="23" t="n">
        <f aca="false">IFERROR(VALUE(SUBSTITUTE(INDEX('Paste BPG'!$A:$Z,MATCH($B11,'Paste BPG'!$C:$C,0),MATCH("BP HIBAH",'Paste BPG'!$3:$3,0)),".","")),0)</f>
        <v>0</v>
      </c>
      <c r="H11" s="23" t="n">
        <f aca="false">IFERROR(VALUE(SUBSTITUTE(INDEX('Paste BPG'!$A:$Z,MATCH($B11,'Paste BPG'!$C:$C,0),MATCH("BP LAIN-LAIN",'Paste BPG'!$3:$3,0)),".","")),0)</f>
        <v>0</v>
      </c>
      <c r="I11" s="24" t="n">
        <f aca="false">D11+E11+F11+G11+H11</f>
        <v>0</v>
      </c>
      <c r="J11" s="23" t="n">
        <f aca="false">D11</f>
        <v>0</v>
      </c>
      <c r="K11" s="23" t="n">
        <f aca="false">IFERROR(VALUE(SUBSTITUTE(INDEX('Paste BPG'!$A:$Z,MATCH($B11,'Paste BPG'!$C:$C,0),MATCH("KUITANSI",'Paste BPG'!$3:$3,0)),".","")),0)</f>
        <v>0</v>
      </c>
      <c r="L11" s="24" t="n">
        <f aca="false">J11+K11</f>
        <v>0</v>
      </c>
    </row>
    <row r="12" customFormat="false" ht="15.75" hidden="false" customHeight="true" outlineLevel="0" collapsed="false">
      <c r="A12" s="19" t="n">
        <v>5</v>
      </c>
      <c r="B12" s="20" t="s">
        <v>40</v>
      </c>
      <c r="C12" s="21" t="s">
        <v>41</v>
      </c>
      <c r="D12" s="25" t="n">
        <f aca="false">IFERROR(VALUE(SUBSTITUTE(INDEX('Paste BPG'!$A:$Z,MATCH($B12,'Paste BPG'!$C:$C,0),MATCH("BP UP/TUP",'Paste BPG'!$3:$3,0)),".","")),0)</f>
        <v>0</v>
      </c>
      <c r="E12" s="23" t="n">
        <f aca="false">IFERROR(VALUE(SUBSTITUTE(INDEX('Paste BPG'!$A:$Z,MATCH($B12,'Paste BPG'!$C:$C,0),MATCH("BP LS BENDAHARA",'Paste BPG'!$3:$3,0)),".","")),0)</f>
        <v>0</v>
      </c>
      <c r="F12" s="23" t="n">
        <f aca="false">IFERROR(VALUE(SUBSTITUTE(INDEX('Paste BPG'!$A:$Z,MATCH($B12,'Paste BPG'!$C:$C,0),MATCH("BP PAJAK",'Paste BPG'!$3:$3,0)),".","")),0)</f>
        <v>0</v>
      </c>
      <c r="G12" s="23" t="n">
        <f aca="false">IFERROR(VALUE(SUBSTITUTE(INDEX('Paste BPG'!$A:$Z,MATCH($B12,'Paste BPG'!$C:$C,0),MATCH("BP HIBAH",'Paste BPG'!$3:$3,0)),".","")),0)</f>
        <v>0</v>
      </c>
      <c r="H12" s="23" t="n">
        <f aca="false">IFERROR(VALUE(SUBSTITUTE(INDEX('Paste BPG'!$A:$Z,MATCH($B12,'Paste BPG'!$C:$C,0),MATCH("BP LAIN-LAIN",'Paste BPG'!$3:$3,0)),".","")),0)</f>
        <v>0</v>
      </c>
      <c r="I12" s="24" t="n">
        <f aca="false">D12+E12+F12+G12+H12</f>
        <v>0</v>
      </c>
      <c r="J12" s="23" t="n">
        <f aca="false">D12</f>
        <v>0</v>
      </c>
      <c r="K12" s="23" t="n">
        <f aca="false">IFERROR(VALUE(SUBSTITUTE(INDEX('Paste BPG'!$A:$Z,MATCH($B12,'Paste BPG'!$C:$C,0),MATCH("KUITANSI",'Paste BPG'!$3:$3,0)),".","")),0)</f>
        <v>0</v>
      </c>
      <c r="L12" s="24" t="n">
        <f aca="false">J12+K12</f>
        <v>0</v>
      </c>
    </row>
    <row r="13" customFormat="false" ht="15.75" hidden="false" customHeight="true" outlineLevel="0" collapsed="false">
      <c r="A13" s="19" t="n">
        <v>6</v>
      </c>
      <c r="B13" s="20" t="s">
        <v>42</v>
      </c>
      <c r="C13" s="21" t="s">
        <v>41</v>
      </c>
      <c r="D13" s="25" t="n">
        <f aca="false">IFERROR(VALUE(SUBSTITUTE(INDEX('Paste BPG'!$A:$Z,MATCH($B13,'Paste BPG'!$C:$C,0),MATCH("BP UP/TUP",'Paste BPG'!$3:$3,0)),".","")),0)</f>
        <v>0</v>
      </c>
      <c r="E13" s="23" t="n">
        <f aca="false">IFERROR(VALUE(SUBSTITUTE(INDEX('Paste BPG'!$A:$Z,MATCH($B13,'Paste BPG'!$C:$C,0),MATCH("BP LS BENDAHARA",'Paste BPG'!$3:$3,0)),".","")),0)</f>
        <v>0</v>
      </c>
      <c r="F13" s="23" t="n">
        <f aca="false">IFERROR(VALUE(SUBSTITUTE(INDEX('Paste BPG'!$A:$Z,MATCH($B13,'Paste BPG'!$C:$C,0),MATCH("BP PAJAK",'Paste BPG'!$3:$3,0)),".","")),0)</f>
        <v>0</v>
      </c>
      <c r="G13" s="23" t="n">
        <f aca="false">IFERROR(VALUE(SUBSTITUTE(INDEX('Paste BPG'!$A:$Z,MATCH($B13,'Paste BPG'!$C:$C,0),MATCH("BP HIBAH",'Paste BPG'!$3:$3,0)),".","")),0)</f>
        <v>0</v>
      </c>
      <c r="H13" s="23" t="n">
        <f aca="false">IFERROR(VALUE(SUBSTITUTE(INDEX('Paste BPG'!$A:$Z,MATCH($B13,'Paste BPG'!$C:$C,0),MATCH("BP LAIN-LAIN",'Paste BPG'!$3:$3,0)),".","")),0)</f>
        <v>0</v>
      </c>
      <c r="I13" s="24" t="n">
        <f aca="false">D13+E13+F13+G13+H13</f>
        <v>0</v>
      </c>
      <c r="J13" s="23" t="n">
        <f aca="false">D13</f>
        <v>0</v>
      </c>
      <c r="K13" s="23" t="n">
        <f aca="false">IFERROR(VALUE(SUBSTITUTE(INDEX('Paste BPG'!$A:$Z,MATCH($B13,'Paste BPG'!$C:$C,0),MATCH("KUITANSI",'Paste BPG'!$3:$3,0)),".","")),0)</f>
        <v>0</v>
      </c>
      <c r="L13" s="24" t="n">
        <f aca="false">J13+K13</f>
        <v>0</v>
      </c>
    </row>
    <row r="14" customFormat="false" ht="15.75" hidden="false" customHeight="true" outlineLevel="0" collapsed="false">
      <c r="A14" s="19" t="n">
        <v>7</v>
      </c>
      <c r="B14" s="20" t="s">
        <v>43</v>
      </c>
      <c r="C14" s="21" t="s">
        <v>44</v>
      </c>
      <c r="D14" s="25" t="n">
        <f aca="false">IFERROR(VALUE(SUBSTITUTE(INDEX('Paste BPG'!$A:$Z,MATCH($B14,'Paste BPG'!$C:$C,0),MATCH("BP UP/TUP",'Paste BPG'!$3:$3,0)),".","")),0)</f>
        <v>0</v>
      </c>
      <c r="E14" s="23" t="n">
        <f aca="false">IFERROR(VALUE(SUBSTITUTE(INDEX('Paste BPG'!$A:$Z,MATCH($B14,'Paste BPG'!$C:$C,0),MATCH("BP LS BENDAHARA",'Paste BPG'!$3:$3,0)),".","")),0)</f>
        <v>0</v>
      </c>
      <c r="F14" s="23" t="n">
        <f aca="false">IFERROR(VALUE(SUBSTITUTE(INDEX('Paste BPG'!$A:$Z,MATCH($B14,'Paste BPG'!$C:$C,0),MATCH("BP PAJAK",'Paste BPG'!$3:$3,0)),".","")),0)</f>
        <v>0</v>
      </c>
      <c r="G14" s="23" t="n">
        <f aca="false">IFERROR(VALUE(SUBSTITUTE(INDEX('Paste BPG'!$A:$Z,MATCH($B14,'Paste BPG'!$C:$C,0),MATCH("BP HIBAH",'Paste BPG'!$3:$3,0)),".","")),0)</f>
        <v>0</v>
      </c>
      <c r="H14" s="23" t="n">
        <f aca="false">IFERROR(VALUE(SUBSTITUTE(INDEX('Paste BPG'!$A:$Z,MATCH($B14,'Paste BPG'!$C:$C,0),MATCH("BP LAIN-LAIN",'Paste BPG'!$3:$3,0)),".","")),0)</f>
        <v>0</v>
      </c>
      <c r="I14" s="24" t="n">
        <f aca="false">D14+E14+F14+G14+H14</f>
        <v>0</v>
      </c>
      <c r="J14" s="23" t="n">
        <f aca="false">D14</f>
        <v>0</v>
      </c>
      <c r="K14" s="23" t="n">
        <f aca="false">IFERROR(VALUE(SUBSTITUTE(INDEX('Paste BPG'!$A:$Z,MATCH($B14,'Paste BPG'!$C:$C,0),MATCH("KUITANSI",'Paste BPG'!$3:$3,0)),".","")),0)</f>
        <v>0</v>
      </c>
      <c r="L14" s="24" t="n">
        <f aca="false">J14+K14</f>
        <v>0</v>
      </c>
    </row>
    <row r="15" customFormat="false" ht="15.75" hidden="false" customHeight="true" outlineLevel="0" collapsed="false">
      <c r="A15" s="19" t="n">
        <v>8</v>
      </c>
      <c r="B15" s="20" t="s">
        <v>45</v>
      </c>
      <c r="C15" s="21" t="s">
        <v>44</v>
      </c>
      <c r="D15" s="25" t="n">
        <f aca="false">IFERROR(VALUE(SUBSTITUTE(INDEX('Paste BPG'!$A:$Z,MATCH($B15,'Paste BPG'!$C:$C,0),MATCH("BP UP/TUP",'Paste BPG'!$3:$3,0)),".","")),0)</f>
        <v>0</v>
      </c>
      <c r="E15" s="23" t="n">
        <f aca="false">IFERROR(VALUE(SUBSTITUTE(INDEX('Paste BPG'!$A:$Z,MATCH($B15,'Paste BPG'!$C:$C,0),MATCH("BP LS BENDAHARA",'Paste BPG'!$3:$3,0)),".","")),0)</f>
        <v>0</v>
      </c>
      <c r="F15" s="23" t="n">
        <f aca="false">IFERROR(VALUE(SUBSTITUTE(INDEX('Paste BPG'!$A:$Z,MATCH($B15,'Paste BPG'!$C:$C,0),MATCH("BP PAJAK",'Paste BPG'!$3:$3,0)),".","")),0)</f>
        <v>0</v>
      </c>
      <c r="G15" s="23" t="n">
        <f aca="false">IFERROR(VALUE(SUBSTITUTE(INDEX('Paste BPG'!$A:$Z,MATCH($B15,'Paste BPG'!$C:$C,0),MATCH("BP HIBAH",'Paste BPG'!$3:$3,0)),".","")),0)</f>
        <v>0</v>
      </c>
      <c r="H15" s="23" t="n">
        <f aca="false">IFERROR(VALUE(SUBSTITUTE(INDEX('Paste BPG'!$A:$Z,MATCH($B15,'Paste BPG'!$C:$C,0),MATCH("BP LAIN-LAIN",'Paste BPG'!$3:$3,0)),".","")),0)</f>
        <v>0</v>
      </c>
      <c r="I15" s="24" t="n">
        <f aca="false">D15+E15+F15+G15+H15</f>
        <v>0</v>
      </c>
      <c r="J15" s="23" t="n">
        <f aca="false">D15</f>
        <v>0</v>
      </c>
      <c r="K15" s="23" t="n">
        <f aca="false">IFERROR(VALUE(SUBSTITUTE(INDEX('Paste BPG'!$A:$Z,MATCH($B15,'Paste BPG'!$C:$C,0),MATCH("KUITANSI",'Paste BPG'!$3:$3,0)),".","")),0)</f>
        <v>0</v>
      </c>
      <c r="L15" s="24" t="n">
        <f aca="false">J15+K15</f>
        <v>0</v>
      </c>
    </row>
    <row r="16" customFormat="false" ht="15.75" hidden="false" customHeight="true" outlineLevel="0" collapsed="false">
      <c r="A16" s="19" t="n">
        <v>9</v>
      </c>
      <c r="B16" s="20" t="s">
        <v>46</v>
      </c>
      <c r="C16" s="21" t="s">
        <v>47</v>
      </c>
      <c r="D16" s="25" t="n">
        <f aca="false">IFERROR(VALUE(SUBSTITUTE(INDEX('Paste BPG'!$A:$Z,MATCH($B16,'Paste BPG'!$C:$C,0),MATCH("BP UP/TUP",'Paste BPG'!$3:$3,0)),".","")),0)</f>
        <v>0</v>
      </c>
      <c r="E16" s="23" t="n">
        <f aca="false">IFERROR(VALUE(SUBSTITUTE(INDEX('Paste BPG'!$A:$Z,MATCH($B16,'Paste BPG'!$C:$C,0),MATCH("BP LS BENDAHARA",'Paste BPG'!$3:$3,0)),".","")),0)</f>
        <v>0</v>
      </c>
      <c r="F16" s="23" t="n">
        <f aca="false">IFERROR(VALUE(SUBSTITUTE(INDEX('Paste BPG'!$A:$Z,MATCH($B16,'Paste BPG'!$C:$C,0),MATCH("BP PAJAK",'Paste BPG'!$3:$3,0)),".","")),0)</f>
        <v>0</v>
      </c>
      <c r="G16" s="23" t="n">
        <f aca="false">IFERROR(VALUE(SUBSTITUTE(INDEX('Paste BPG'!$A:$Z,MATCH($B16,'Paste BPG'!$C:$C,0),MATCH("BP HIBAH",'Paste BPG'!$3:$3,0)),".","")),0)</f>
        <v>0</v>
      </c>
      <c r="H16" s="23" t="n">
        <f aca="false">IFERROR(VALUE(SUBSTITUTE(INDEX('Paste BPG'!$A:$Z,MATCH($B16,'Paste BPG'!$C:$C,0),MATCH("BP LAIN-LAIN",'Paste BPG'!$3:$3,0)),".","")),0)</f>
        <v>0</v>
      </c>
      <c r="I16" s="24" t="n">
        <f aca="false">D16+E16+F16+G16+H16</f>
        <v>0</v>
      </c>
      <c r="J16" s="23" t="n">
        <f aca="false">D16</f>
        <v>0</v>
      </c>
      <c r="K16" s="23" t="n">
        <f aca="false">IFERROR(VALUE(SUBSTITUTE(INDEX('Paste BPG'!$A:$Z,MATCH($B16,'Paste BPG'!$C:$C,0),MATCH("KUITANSI",'Paste BPG'!$3:$3,0)),".","")),0)</f>
        <v>0</v>
      </c>
      <c r="L16" s="24" t="n">
        <f aca="false">J16+K16</f>
        <v>0</v>
      </c>
    </row>
    <row r="17" customFormat="false" ht="15.75" hidden="false" customHeight="true" outlineLevel="0" collapsed="false">
      <c r="A17" s="19" t="n">
        <v>10</v>
      </c>
      <c r="B17" s="20" t="s">
        <v>48</v>
      </c>
      <c r="C17" s="21" t="s">
        <v>47</v>
      </c>
      <c r="D17" s="25" t="n">
        <f aca="false">IFERROR(VALUE(SUBSTITUTE(INDEX('Paste BPG'!$A:$Z,MATCH($B17,'Paste BPG'!$C:$C,0),MATCH("BP UP/TUP",'Paste BPG'!$3:$3,0)),".","")),0)</f>
        <v>0</v>
      </c>
      <c r="E17" s="23" t="n">
        <f aca="false">IFERROR(VALUE(SUBSTITUTE(INDEX('Paste BPG'!$A:$Z,MATCH($B17,'Paste BPG'!$C:$C,0),MATCH("BP LS BENDAHARA",'Paste BPG'!$3:$3,0)),".","")),0)</f>
        <v>0</v>
      </c>
      <c r="F17" s="23" t="n">
        <f aca="false">IFERROR(VALUE(SUBSTITUTE(INDEX('Paste BPG'!$A:$Z,MATCH($B17,'Paste BPG'!$C:$C,0),MATCH("BP PAJAK",'Paste BPG'!$3:$3,0)),".","")),0)</f>
        <v>0</v>
      </c>
      <c r="G17" s="23" t="n">
        <f aca="false">IFERROR(VALUE(SUBSTITUTE(INDEX('Paste BPG'!$A:$Z,MATCH($B17,'Paste BPG'!$C:$C,0),MATCH("BP HIBAH",'Paste BPG'!$3:$3,0)),".","")),0)</f>
        <v>0</v>
      </c>
      <c r="H17" s="23" t="n">
        <f aca="false">IFERROR(VALUE(SUBSTITUTE(INDEX('Paste BPG'!$A:$Z,MATCH($B17,'Paste BPG'!$C:$C,0),MATCH("BP LAIN-LAIN",'Paste BPG'!$3:$3,0)),".","")),0)</f>
        <v>0</v>
      </c>
      <c r="I17" s="24" t="n">
        <f aca="false">D17+E17+F17+G17+H17</f>
        <v>0</v>
      </c>
      <c r="J17" s="23" t="n">
        <f aca="false">D17</f>
        <v>0</v>
      </c>
      <c r="K17" s="23" t="n">
        <f aca="false">IFERROR(VALUE(SUBSTITUTE(INDEX('Paste BPG'!$A:$Z,MATCH($B17,'Paste BPG'!$C:$C,0),MATCH("KUITANSI",'Paste BPG'!$3:$3,0)),".","")),0)</f>
        <v>0</v>
      </c>
      <c r="L17" s="24" t="n">
        <f aca="false">J17+K17</f>
        <v>0</v>
      </c>
    </row>
    <row r="18" customFormat="false" ht="15.75" hidden="false" customHeight="true" outlineLevel="0" collapsed="false">
      <c r="A18" s="19" t="n">
        <v>11</v>
      </c>
      <c r="B18" s="20" t="s">
        <v>49</v>
      </c>
      <c r="C18" s="21" t="s">
        <v>50</v>
      </c>
      <c r="D18" s="25" t="n">
        <f aca="false">IFERROR(VALUE(SUBSTITUTE(INDEX('Paste BPG'!$A:$Z,MATCH($B18,'Paste BPG'!$C:$C,0),MATCH("BP UP/TUP",'Paste BPG'!$3:$3,0)),".","")),0)</f>
        <v>0</v>
      </c>
      <c r="E18" s="23" t="n">
        <f aca="false">IFERROR(VALUE(SUBSTITUTE(INDEX('Paste BPG'!$A:$Z,MATCH($B18,'Paste BPG'!$C:$C,0),MATCH("BP LS BENDAHARA",'Paste BPG'!$3:$3,0)),".","")),0)</f>
        <v>0</v>
      </c>
      <c r="F18" s="23" t="n">
        <f aca="false">IFERROR(VALUE(SUBSTITUTE(INDEX('Paste BPG'!$A:$Z,MATCH($B18,'Paste BPG'!$C:$C,0),MATCH("BP PAJAK",'Paste BPG'!$3:$3,0)),".","")),0)</f>
        <v>0</v>
      </c>
      <c r="G18" s="23" t="n">
        <f aca="false">IFERROR(VALUE(SUBSTITUTE(INDEX('Paste BPG'!$A:$Z,MATCH($B18,'Paste BPG'!$C:$C,0),MATCH("BP HIBAH",'Paste BPG'!$3:$3,0)),".","")),0)</f>
        <v>0</v>
      </c>
      <c r="H18" s="23" t="n">
        <f aca="false">IFERROR(VALUE(SUBSTITUTE(INDEX('Paste BPG'!$A:$Z,MATCH($B18,'Paste BPG'!$C:$C,0),MATCH("BP LAIN-LAIN",'Paste BPG'!$3:$3,0)),".","")),0)</f>
        <v>0</v>
      </c>
      <c r="I18" s="24" t="n">
        <f aca="false">D18+E18+F18+G18+H18</f>
        <v>0</v>
      </c>
      <c r="J18" s="23" t="n">
        <f aca="false">D18</f>
        <v>0</v>
      </c>
      <c r="K18" s="23" t="n">
        <f aca="false">IFERROR(VALUE(SUBSTITUTE(INDEX('Paste BPG'!$A:$Z,MATCH($B18,'Paste BPG'!$C:$C,0),MATCH("KUITANSI",'Paste BPG'!$3:$3,0)),".","")),0)</f>
        <v>0</v>
      </c>
      <c r="L18" s="24" t="n">
        <f aca="false">J18+K18</f>
        <v>0</v>
      </c>
    </row>
    <row r="19" customFormat="false" ht="15.75" hidden="false" customHeight="true" outlineLevel="0" collapsed="false">
      <c r="A19" s="19" t="n">
        <v>12</v>
      </c>
      <c r="B19" s="20" t="s">
        <v>51</v>
      </c>
      <c r="C19" s="21" t="s">
        <v>52</v>
      </c>
      <c r="D19" s="25" t="n">
        <f aca="false">IFERROR(VALUE(SUBSTITUTE(INDEX('Paste BPG'!$A:$Z,MATCH($B19,'Paste BPG'!$C:$C,0),MATCH("BP UP/TUP",'Paste BPG'!$3:$3,0)),".","")),0)</f>
        <v>0</v>
      </c>
      <c r="E19" s="23" t="n">
        <f aca="false">IFERROR(VALUE(SUBSTITUTE(INDEX('Paste BPG'!$A:$Z,MATCH($B19,'Paste BPG'!$C:$C,0),MATCH("BP LS BENDAHARA",'Paste BPG'!$3:$3,0)),".","")),0)</f>
        <v>0</v>
      </c>
      <c r="F19" s="23" t="n">
        <f aca="false">IFERROR(VALUE(SUBSTITUTE(INDEX('Paste BPG'!$A:$Z,MATCH($B19,'Paste BPG'!$C:$C,0),MATCH("BP PAJAK",'Paste BPG'!$3:$3,0)),".","")),0)</f>
        <v>0</v>
      </c>
      <c r="G19" s="23" t="n">
        <f aca="false">IFERROR(VALUE(SUBSTITUTE(INDEX('Paste BPG'!$A:$Z,MATCH($B19,'Paste BPG'!$C:$C,0),MATCH("BP HIBAH",'Paste BPG'!$3:$3,0)),".","")),0)</f>
        <v>0</v>
      </c>
      <c r="H19" s="23" t="n">
        <f aca="false">IFERROR(VALUE(SUBSTITUTE(INDEX('Paste BPG'!$A:$Z,MATCH($B19,'Paste BPG'!$C:$C,0),MATCH("BP LAIN-LAIN",'Paste BPG'!$3:$3,0)),".","")),0)</f>
        <v>0</v>
      </c>
      <c r="I19" s="24" t="n">
        <f aca="false">D19+E19+F19+G19+H19</f>
        <v>0</v>
      </c>
      <c r="J19" s="23" t="n">
        <f aca="false">D19</f>
        <v>0</v>
      </c>
      <c r="K19" s="23" t="n">
        <f aca="false">IFERROR(VALUE(SUBSTITUTE(INDEX('Paste BPG'!$A:$Z,MATCH($B19,'Paste BPG'!$C:$C,0),MATCH("KUITANSI",'Paste BPG'!$3:$3,0)),".","")),0)</f>
        <v>0</v>
      </c>
      <c r="L19" s="24" t="n">
        <f aca="false">J19+K19</f>
        <v>0</v>
      </c>
    </row>
    <row r="20" customFormat="false" ht="15.75" hidden="false" customHeight="true" outlineLevel="0" collapsed="false">
      <c r="A20" s="19" t="n">
        <v>13</v>
      </c>
      <c r="B20" s="20" t="s">
        <v>53</v>
      </c>
      <c r="C20" s="26" t="s">
        <v>54</v>
      </c>
      <c r="D20" s="25" t="n">
        <f aca="false">IFERROR(VALUE(SUBSTITUTE(INDEX('Paste BPG'!$A:$Z,MATCH($B20,'Paste BPG'!$C:$C,0),MATCH("BP UP/TUP",'Paste BPG'!$3:$3,0)),".","")),0)</f>
        <v>0</v>
      </c>
      <c r="E20" s="23" t="n">
        <f aca="false">IFERROR(VALUE(SUBSTITUTE(INDEX('Paste BPG'!$A:$Z,MATCH($B20,'Paste BPG'!$C:$C,0),MATCH("BP LS BENDAHARA",'Paste BPG'!$3:$3,0)),".","")),0)</f>
        <v>0</v>
      </c>
      <c r="F20" s="23" t="n">
        <f aca="false">IFERROR(VALUE(SUBSTITUTE(INDEX('Paste BPG'!$A:$Z,MATCH($B20,'Paste BPG'!$C:$C,0),MATCH("BP PAJAK",'Paste BPG'!$3:$3,0)),".","")),0)</f>
        <v>0</v>
      </c>
      <c r="G20" s="23" t="n">
        <f aca="false">IFERROR(VALUE(SUBSTITUTE(INDEX('Paste BPG'!$A:$Z,MATCH($B20,'Paste BPG'!$C:$C,0),MATCH("BP HIBAH",'Paste BPG'!$3:$3,0)),".","")),0)</f>
        <v>0</v>
      </c>
      <c r="H20" s="23" t="n">
        <f aca="false">IFERROR(VALUE(SUBSTITUTE(INDEX('Paste BPG'!$A:$Z,MATCH($B20,'Paste BPG'!$C:$C,0),MATCH("BP LAIN-LAIN",'Paste BPG'!$3:$3,0)),".","")),0)</f>
        <v>0</v>
      </c>
      <c r="I20" s="24" t="n">
        <f aca="false">D20+E20+F20+G20+H20</f>
        <v>0</v>
      </c>
      <c r="J20" s="23" t="n">
        <f aca="false">D20</f>
        <v>0</v>
      </c>
      <c r="K20" s="23" t="n">
        <f aca="false">IFERROR(VALUE(SUBSTITUTE(INDEX('Paste BPG'!$A:$Z,MATCH($B20,'Paste BPG'!$C:$C,0),MATCH("KUITANSI",'Paste BPG'!$3:$3,0)),".","")),0)</f>
        <v>0</v>
      </c>
      <c r="L20" s="24" t="n">
        <f aca="false">J20+K20</f>
        <v>0</v>
      </c>
    </row>
    <row r="21" customFormat="false" ht="15.75" hidden="false" customHeight="true" outlineLevel="0" collapsed="false">
      <c r="A21" s="19" t="n">
        <v>14</v>
      </c>
      <c r="B21" s="20" t="s">
        <v>55</v>
      </c>
      <c r="C21" s="21" t="s">
        <v>50</v>
      </c>
      <c r="D21" s="25" t="n">
        <f aca="false">IFERROR(VALUE(SUBSTITUTE(INDEX('Paste BPG'!$A:$Z,MATCH($B21,'Paste BPG'!$C:$C,0),MATCH("BP UP/TUP",'Paste BPG'!$3:$3,0)),".","")),0)</f>
        <v>0</v>
      </c>
      <c r="E21" s="23" t="n">
        <f aca="false">IFERROR(VALUE(SUBSTITUTE(INDEX('Paste BPG'!$A:$Z,MATCH($B21,'Paste BPG'!$C:$C,0),MATCH("BP LS BENDAHARA",'Paste BPG'!$3:$3,0)),".","")),0)</f>
        <v>0</v>
      </c>
      <c r="F21" s="23" t="n">
        <f aca="false">IFERROR(VALUE(SUBSTITUTE(INDEX('Paste BPG'!$A:$Z,MATCH($B21,'Paste BPG'!$C:$C,0),MATCH("BP PAJAK",'Paste BPG'!$3:$3,0)),".","")),0)</f>
        <v>0</v>
      </c>
      <c r="G21" s="23" t="n">
        <f aca="false">IFERROR(VALUE(SUBSTITUTE(INDEX('Paste BPG'!$A:$Z,MATCH($B21,'Paste BPG'!$C:$C,0),MATCH("BP HIBAH",'Paste BPG'!$3:$3,0)),".","")),0)</f>
        <v>0</v>
      </c>
      <c r="H21" s="23" t="n">
        <f aca="false">IFERROR(VALUE(SUBSTITUTE(INDEX('Paste BPG'!$A:$Z,MATCH($B21,'Paste BPG'!$C:$C,0),MATCH("BP LAIN-LAIN",'Paste BPG'!$3:$3,0)),".","")),0)</f>
        <v>0</v>
      </c>
      <c r="I21" s="24" t="n">
        <f aca="false">D21+E21+F21+G21+H21</f>
        <v>0</v>
      </c>
      <c r="J21" s="23" t="n">
        <f aca="false">D21</f>
        <v>0</v>
      </c>
      <c r="K21" s="23" t="n">
        <f aca="false">IFERROR(VALUE(SUBSTITUTE(INDEX('Paste BPG'!$A:$Z,MATCH($B21,'Paste BPG'!$C:$C,0),MATCH("KUITANSI",'Paste BPG'!$3:$3,0)),".","")),0)</f>
        <v>0</v>
      </c>
      <c r="L21" s="24" t="n">
        <f aca="false">J21+K21</f>
        <v>0</v>
      </c>
    </row>
    <row r="22" customFormat="false" ht="15.75" hidden="false" customHeight="true" outlineLevel="0" collapsed="false">
      <c r="A22" s="19" t="n">
        <v>15</v>
      </c>
      <c r="B22" s="20" t="s">
        <v>56</v>
      </c>
      <c r="C22" s="21" t="s">
        <v>57</v>
      </c>
      <c r="D22" s="25" t="n">
        <f aca="false">IFERROR(VALUE(SUBSTITUTE(INDEX('Paste BPG'!$A:$Z,MATCH($B22,'Paste BPG'!$C:$C,0),MATCH("BP UP/TUP",'Paste BPG'!$3:$3,0)),".","")),0)</f>
        <v>0</v>
      </c>
      <c r="E22" s="23" t="n">
        <f aca="false">IFERROR(VALUE(SUBSTITUTE(INDEX('Paste BPG'!$A:$Z,MATCH($B22,'Paste BPG'!$C:$C,0),MATCH("BP LS BENDAHARA",'Paste BPG'!$3:$3,0)),".","")),0)</f>
        <v>0</v>
      </c>
      <c r="F22" s="23" t="n">
        <f aca="false">IFERROR(VALUE(SUBSTITUTE(INDEX('Paste BPG'!$A:$Z,MATCH($B22,'Paste BPG'!$C:$C,0),MATCH("BP PAJAK",'Paste BPG'!$3:$3,0)),".","")),0)</f>
        <v>0</v>
      </c>
      <c r="G22" s="23" t="n">
        <f aca="false">IFERROR(VALUE(SUBSTITUTE(INDEX('Paste BPG'!$A:$Z,MATCH($B22,'Paste BPG'!$C:$C,0),MATCH("BP HIBAH",'Paste BPG'!$3:$3,0)),".","")),0)</f>
        <v>0</v>
      </c>
      <c r="H22" s="23" t="n">
        <f aca="false">IFERROR(VALUE(SUBSTITUTE(INDEX('Paste BPG'!$A:$Z,MATCH($B22,'Paste BPG'!$C:$C,0),MATCH("BP LAIN-LAIN",'Paste BPG'!$3:$3,0)),".","")),0)</f>
        <v>0</v>
      </c>
      <c r="I22" s="24" t="n">
        <f aca="false">D22+E22+F22+G22+H22</f>
        <v>0</v>
      </c>
      <c r="J22" s="23" t="n">
        <f aca="false">D22</f>
        <v>0</v>
      </c>
      <c r="K22" s="23" t="n">
        <f aca="false">IFERROR(VALUE(SUBSTITUTE(INDEX('Paste BPG'!$A:$Z,MATCH($B22,'Paste BPG'!$C:$C,0),MATCH("KUITANSI",'Paste BPG'!$3:$3,0)),".","")),0)</f>
        <v>0</v>
      </c>
      <c r="L22" s="24" t="n">
        <f aca="false">J22+K22</f>
        <v>0</v>
      </c>
    </row>
    <row r="23" customFormat="false" ht="15.75" hidden="false" customHeight="true" outlineLevel="0" collapsed="false">
      <c r="A23" s="19" t="n">
        <v>16</v>
      </c>
      <c r="B23" s="20" t="s">
        <v>58</v>
      </c>
      <c r="C23" s="21" t="s">
        <v>54</v>
      </c>
      <c r="D23" s="25" t="n">
        <f aca="false">IFERROR(VALUE(SUBSTITUTE(INDEX('Paste BPG'!$A:$Z,MATCH($B23,'Paste BPG'!$C:$C,0),MATCH("BP UP/TUP",'Paste BPG'!$3:$3,0)),".","")),0)</f>
        <v>0</v>
      </c>
      <c r="E23" s="23" t="n">
        <f aca="false">IFERROR(VALUE(SUBSTITUTE(INDEX('Paste BPG'!$A:$Z,MATCH($B23,'Paste BPG'!$C:$C,0),MATCH("BP LS BENDAHARA",'Paste BPG'!$3:$3,0)),".","")),0)</f>
        <v>0</v>
      </c>
      <c r="F23" s="23" t="n">
        <f aca="false">IFERROR(VALUE(SUBSTITUTE(INDEX('Paste BPG'!$A:$Z,MATCH($B23,'Paste BPG'!$C:$C,0),MATCH("BP PAJAK",'Paste BPG'!$3:$3,0)),".","")),0)</f>
        <v>0</v>
      </c>
      <c r="G23" s="23" t="n">
        <f aca="false">IFERROR(VALUE(SUBSTITUTE(INDEX('Paste BPG'!$A:$Z,MATCH($B23,'Paste BPG'!$C:$C,0),MATCH("BP HIBAH",'Paste BPG'!$3:$3,0)),".","")),0)</f>
        <v>0</v>
      </c>
      <c r="H23" s="23" t="n">
        <f aca="false">IFERROR(VALUE(SUBSTITUTE(INDEX('Paste BPG'!$A:$Z,MATCH($B23,'Paste BPG'!$C:$C,0),MATCH("BP LAIN-LAIN",'Paste BPG'!$3:$3,0)),".","")),0)</f>
        <v>0</v>
      </c>
      <c r="I23" s="24" t="n">
        <f aca="false">D23+E23+F23+G23+H23</f>
        <v>0</v>
      </c>
      <c r="J23" s="23" t="n">
        <f aca="false">D23</f>
        <v>0</v>
      </c>
      <c r="K23" s="23" t="n">
        <f aca="false">IFERROR(VALUE(SUBSTITUTE(INDEX('Paste BPG'!$A:$Z,MATCH($B23,'Paste BPG'!$C:$C,0),MATCH("KUITANSI",'Paste BPG'!$3:$3,0)),".","")),0)</f>
        <v>0</v>
      </c>
      <c r="L23" s="24" t="n">
        <f aca="false">J23+K23</f>
        <v>0</v>
      </c>
    </row>
    <row r="24" customFormat="false" ht="15.75" hidden="false" customHeight="true" outlineLevel="0" collapsed="false">
      <c r="A24" s="19" t="n">
        <v>17</v>
      </c>
      <c r="B24" s="20" t="s">
        <v>59</v>
      </c>
      <c r="C24" s="21" t="s">
        <v>60</v>
      </c>
      <c r="D24" s="25" t="n">
        <f aca="false">IFERROR(VALUE(SUBSTITUTE(INDEX('Paste BPG'!$A:$Z,MATCH($B24,'Paste BPG'!$C:$C,0),MATCH("BP UP/TUP",'Paste BPG'!$3:$3,0)),".","")),0)</f>
        <v>0</v>
      </c>
      <c r="E24" s="23" t="n">
        <f aca="false">IFERROR(VALUE(SUBSTITUTE(INDEX('Paste BPG'!$A:$Z,MATCH($B24,'Paste BPG'!$C:$C,0),MATCH("BP LS BENDAHARA",'Paste BPG'!$3:$3,0)),".","")),0)</f>
        <v>0</v>
      </c>
      <c r="F24" s="23" t="n">
        <f aca="false">IFERROR(VALUE(SUBSTITUTE(INDEX('Paste BPG'!$A:$Z,MATCH($B24,'Paste BPG'!$C:$C,0),MATCH("BP PAJAK",'Paste BPG'!$3:$3,0)),".","")),0)</f>
        <v>0</v>
      </c>
      <c r="G24" s="23" t="n">
        <f aca="false">IFERROR(VALUE(SUBSTITUTE(INDEX('Paste BPG'!$A:$Z,MATCH($B24,'Paste BPG'!$C:$C,0),MATCH("BP HIBAH",'Paste BPG'!$3:$3,0)),".","")),0)</f>
        <v>0</v>
      </c>
      <c r="H24" s="23" t="n">
        <f aca="false">IFERROR(VALUE(SUBSTITUTE(INDEX('Paste BPG'!$A:$Z,MATCH($B24,'Paste BPG'!$C:$C,0),MATCH("BP LAIN-LAIN",'Paste BPG'!$3:$3,0)),".","")),0)</f>
        <v>0</v>
      </c>
      <c r="I24" s="24" t="n">
        <f aca="false">D24+E24+F24+G24+H24</f>
        <v>0</v>
      </c>
      <c r="J24" s="23" t="n">
        <f aca="false">D24</f>
        <v>0</v>
      </c>
      <c r="K24" s="23" t="n">
        <f aca="false">IFERROR(VALUE(SUBSTITUTE(INDEX('Paste BPG'!$A:$Z,MATCH($B24,'Paste BPG'!$C:$C,0),MATCH("KUITANSI",'Paste BPG'!$3:$3,0)),".","")),0)</f>
        <v>0</v>
      </c>
      <c r="L24" s="24" t="n">
        <f aca="false">J24+K24</f>
        <v>0</v>
      </c>
    </row>
    <row r="25" customFormat="false" ht="15.75" hidden="false" customHeight="true" outlineLevel="0" collapsed="false">
      <c r="A25" s="19" t="n">
        <v>18</v>
      </c>
      <c r="B25" s="20" t="s">
        <v>61</v>
      </c>
      <c r="C25" s="21" t="s">
        <v>60</v>
      </c>
      <c r="D25" s="25" t="n">
        <f aca="false">IFERROR(VALUE(SUBSTITUTE(INDEX('Paste BPG'!$A:$Z,MATCH($B25,'Paste BPG'!$C:$C,0),MATCH("BP UP/TUP",'Paste BPG'!$3:$3,0)),".","")),0)</f>
        <v>0</v>
      </c>
      <c r="E25" s="23" t="n">
        <f aca="false">IFERROR(VALUE(SUBSTITUTE(INDEX('Paste BPG'!$A:$Z,MATCH($B25,'Paste BPG'!$C:$C,0),MATCH("BP LS BENDAHARA",'Paste BPG'!$3:$3,0)),".","")),0)</f>
        <v>0</v>
      </c>
      <c r="F25" s="23" t="n">
        <f aca="false">IFERROR(VALUE(SUBSTITUTE(INDEX('Paste BPG'!$A:$Z,MATCH($B25,'Paste BPG'!$C:$C,0),MATCH("BP PAJAK",'Paste BPG'!$3:$3,0)),".","")),0)</f>
        <v>0</v>
      </c>
      <c r="G25" s="23" t="n">
        <f aca="false">IFERROR(VALUE(SUBSTITUTE(INDEX('Paste BPG'!$A:$Z,MATCH($B25,'Paste BPG'!$C:$C,0),MATCH("BP HIBAH",'Paste BPG'!$3:$3,0)),".","")),0)</f>
        <v>0</v>
      </c>
      <c r="H25" s="23" t="n">
        <f aca="false">IFERROR(VALUE(SUBSTITUTE(INDEX('Paste BPG'!$A:$Z,MATCH($B25,'Paste BPG'!$C:$C,0),MATCH("BP LAIN-LAIN",'Paste BPG'!$3:$3,0)),".","")),0)</f>
        <v>0</v>
      </c>
      <c r="I25" s="24" t="n">
        <f aca="false">D25+E25+F25+G25+H25</f>
        <v>0</v>
      </c>
      <c r="J25" s="23" t="n">
        <f aca="false">D25</f>
        <v>0</v>
      </c>
      <c r="K25" s="23" t="n">
        <f aca="false">IFERROR(VALUE(SUBSTITUTE(INDEX('Paste BPG'!$A:$Z,MATCH($B25,'Paste BPG'!$C:$C,0),MATCH("KUITANSI",'Paste BPG'!$3:$3,0)),".","")),0)</f>
        <v>0</v>
      </c>
      <c r="L25" s="24" t="n">
        <f aca="false">J25+K25</f>
        <v>0</v>
      </c>
    </row>
    <row r="26" customFormat="false" ht="15.75" hidden="false" customHeight="true" outlineLevel="0" collapsed="false">
      <c r="A26" s="19" t="n">
        <v>19</v>
      </c>
      <c r="B26" s="20" t="s">
        <v>62</v>
      </c>
      <c r="C26" s="21" t="s">
        <v>63</v>
      </c>
      <c r="D26" s="25" t="n">
        <f aca="false">IFERROR(VALUE(SUBSTITUTE(INDEX('Paste BPG'!$A:$Z,MATCH($B26,'Paste BPG'!$C:$C,0),MATCH("BP UP/TUP",'Paste BPG'!$3:$3,0)),".","")),0)</f>
        <v>0</v>
      </c>
      <c r="E26" s="23" t="n">
        <f aca="false">IFERROR(VALUE(SUBSTITUTE(INDEX('Paste BPG'!$A:$Z,MATCH($B26,'Paste BPG'!$C:$C,0),MATCH("BP LS BENDAHARA",'Paste BPG'!$3:$3,0)),".","")),0)</f>
        <v>0</v>
      </c>
      <c r="F26" s="23" t="n">
        <f aca="false">IFERROR(VALUE(SUBSTITUTE(INDEX('Paste BPG'!$A:$Z,MATCH($B26,'Paste BPG'!$C:$C,0),MATCH("BP PAJAK",'Paste BPG'!$3:$3,0)),".","")),0)</f>
        <v>0</v>
      </c>
      <c r="G26" s="23" t="n">
        <f aca="false">IFERROR(VALUE(SUBSTITUTE(INDEX('Paste BPG'!$A:$Z,MATCH($B26,'Paste BPG'!$C:$C,0),MATCH("BP HIBAH",'Paste BPG'!$3:$3,0)),".","")),0)</f>
        <v>0</v>
      </c>
      <c r="H26" s="23" t="n">
        <f aca="false">IFERROR(VALUE(SUBSTITUTE(INDEX('Paste BPG'!$A:$Z,MATCH($B26,'Paste BPG'!$C:$C,0),MATCH("BP LAIN-LAIN",'Paste BPG'!$3:$3,0)),".","")),0)</f>
        <v>0</v>
      </c>
      <c r="I26" s="24" t="n">
        <f aca="false">D26+E26+F26+G26+H26</f>
        <v>0</v>
      </c>
      <c r="J26" s="23" t="n">
        <f aca="false">D26</f>
        <v>0</v>
      </c>
      <c r="K26" s="23" t="n">
        <f aca="false">IFERROR(VALUE(SUBSTITUTE(INDEX('Paste BPG'!$A:$Z,MATCH($B26,'Paste BPG'!$C:$C,0),MATCH("KUITANSI",'Paste BPG'!$3:$3,0)),".","")),0)</f>
        <v>0</v>
      </c>
      <c r="L26" s="24" t="n">
        <f aca="false">J26+K26</f>
        <v>0</v>
      </c>
    </row>
    <row r="27" customFormat="false" ht="15.75" hidden="false" customHeight="true" outlineLevel="0" collapsed="false">
      <c r="A27" s="19" t="n">
        <v>20</v>
      </c>
      <c r="B27" s="20" t="s">
        <v>64</v>
      </c>
      <c r="C27" s="21" t="s">
        <v>63</v>
      </c>
      <c r="D27" s="25" t="n">
        <f aca="false">IFERROR(VALUE(SUBSTITUTE(INDEX('Paste BPG'!$A:$Z,MATCH($B27,'Paste BPG'!$C:$C,0),MATCH("BP UP/TUP",'Paste BPG'!$3:$3,0)),".","")),0)</f>
        <v>0</v>
      </c>
      <c r="E27" s="23" t="n">
        <f aca="false">IFERROR(VALUE(SUBSTITUTE(INDEX('Paste BPG'!$A:$Z,MATCH($B27,'Paste BPG'!$C:$C,0),MATCH("BP LS BENDAHARA",'Paste BPG'!$3:$3,0)),".","")),0)</f>
        <v>0</v>
      </c>
      <c r="F27" s="23" t="n">
        <f aca="false">IFERROR(VALUE(SUBSTITUTE(INDEX('Paste BPG'!$A:$Z,MATCH($B27,'Paste BPG'!$C:$C,0),MATCH("BP PAJAK",'Paste BPG'!$3:$3,0)),".","")),0)</f>
        <v>0</v>
      </c>
      <c r="G27" s="23" t="n">
        <f aca="false">IFERROR(VALUE(SUBSTITUTE(INDEX('Paste BPG'!$A:$Z,MATCH($B27,'Paste BPG'!$C:$C,0),MATCH("BP HIBAH",'Paste BPG'!$3:$3,0)),".","")),0)</f>
        <v>0</v>
      </c>
      <c r="H27" s="23" t="n">
        <f aca="false">IFERROR(VALUE(SUBSTITUTE(INDEX('Paste BPG'!$A:$Z,MATCH($B27,'Paste BPG'!$C:$C,0),MATCH("BP LAIN-LAIN",'Paste BPG'!$3:$3,0)),".","")),0)</f>
        <v>0</v>
      </c>
      <c r="I27" s="24" t="n">
        <f aca="false">D27+E27+F27+G27+H27</f>
        <v>0</v>
      </c>
      <c r="J27" s="23" t="n">
        <f aca="false">D27</f>
        <v>0</v>
      </c>
      <c r="K27" s="23" t="n">
        <f aca="false">IFERROR(VALUE(SUBSTITUTE(INDEX('Paste BPG'!$A:$Z,MATCH($B27,'Paste BPG'!$C:$C,0),MATCH("KUITANSI",'Paste BPG'!$3:$3,0)),".","")),0)</f>
        <v>0</v>
      </c>
      <c r="L27" s="24" t="n">
        <f aca="false">J27+K27</f>
        <v>0</v>
      </c>
    </row>
    <row r="28" customFormat="false" ht="15.75" hidden="false" customHeight="true" outlineLevel="0" collapsed="false">
      <c r="A28" s="27"/>
      <c r="B28" s="28" t="s">
        <v>65</v>
      </c>
      <c r="C28" s="17" t="s">
        <v>66</v>
      </c>
      <c r="D28" s="18" t="n">
        <f aca="false">SUM(D29+D30+D31+D32)</f>
        <v>0</v>
      </c>
      <c r="E28" s="29" t="n">
        <f aca="false">SUM(E29+E30+E31+E32)</f>
        <v>0</v>
      </c>
      <c r="F28" s="29" t="n">
        <f aca="false">SUM(F29+F30+F31+F32)</f>
        <v>0</v>
      </c>
      <c r="G28" s="29" t="n">
        <f aca="false">SUM(G29+G30+G31+G32)</f>
        <v>0</v>
      </c>
      <c r="H28" s="29" t="n">
        <f aca="false">SUM(H29+H30+H31+H32)</f>
        <v>0</v>
      </c>
      <c r="I28" s="18" t="n">
        <f aca="false">D28+E28+F28+G28+H28</f>
        <v>0</v>
      </c>
      <c r="J28" s="18" t="n">
        <f aca="false">SUM(J29+J30+J31+J32)</f>
        <v>0</v>
      </c>
      <c r="K28" s="18" t="n">
        <f aca="false">SUM(K29+K30+K31+K32)</f>
        <v>0</v>
      </c>
      <c r="L28" s="18" t="n">
        <f aca="false">J28+K28</f>
        <v>0</v>
      </c>
    </row>
    <row r="29" customFormat="false" ht="15.75" hidden="false" customHeight="true" outlineLevel="0" collapsed="false">
      <c r="A29" s="19" t="n">
        <v>21</v>
      </c>
      <c r="B29" s="20" t="s">
        <v>67</v>
      </c>
      <c r="C29" s="21" t="s">
        <v>68</v>
      </c>
      <c r="D29" s="25" t="n">
        <f aca="false">IFERROR(VALUE(SUBSTITUTE(INDEX('Paste BPG'!$A:$Z,MATCH($B29,'Paste BPG'!$C:$C,0),MATCH("BP UP/TUP",'Paste BPG'!$3:$3,0)),".","")),0)</f>
        <v>0</v>
      </c>
      <c r="E29" s="23" t="n">
        <f aca="false">IFERROR(VALUE(SUBSTITUTE(INDEX('Paste BPG'!$A:$Z,MATCH($B29,'Paste BPG'!$C:$C,0),MATCH("BP LS BENDAHARA",'Paste BPG'!$3:$3,0)),".","")),0)</f>
        <v>0</v>
      </c>
      <c r="F29" s="23" t="n">
        <f aca="false">IFERROR(VALUE(SUBSTITUTE(INDEX('Paste BPG'!$A:$Z,MATCH($B29,'Paste BPG'!$C:$C,0),MATCH("BP PAJAK",'Paste BPG'!$3:$3,0)),".","")),0)</f>
        <v>0</v>
      </c>
      <c r="G29" s="23" t="n">
        <f aca="false">IFERROR(VALUE(SUBSTITUTE(INDEX('Paste BPG'!$A:$Z,MATCH($B29,'Paste BPG'!$C:$C,0),MATCH("BP HIBAH",'Paste BPG'!$3:$3,0)),".","")),0)</f>
        <v>0</v>
      </c>
      <c r="H29" s="23" t="n">
        <f aca="false">IFERROR(VALUE(SUBSTITUTE(INDEX('Paste BPG'!$A:$Z,MATCH($B29,'Paste BPG'!$C:$C,0),MATCH("BP LAIN-LAIN",'Paste BPG'!$3:$3,0)),".","")),0)</f>
        <v>0</v>
      </c>
      <c r="I29" s="24" t="n">
        <f aca="false">D29+E29+F29+G29+H29</f>
        <v>0</v>
      </c>
      <c r="J29" s="23" t="n">
        <f aca="false">D29</f>
        <v>0</v>
      </c>
      <c r="K29" s="23" t="n">
        <f aca="false">IFERROR(VALUE(SUBSTITUTE(INDEX('Paste BPG'!$A:$Z,MATCH($B29,'Paste BPG'!$C:$C,0),MATCH("KUITANSI",'Paste BPG'!$3:$3,0)),".","")),0)</f>
        <v>0</v>
      </c>
      <c r="L29" s="24" t="n">
        <f aca="false">J29+K29</f>
        <v>0</v>
      </c>
    </row>
    <row r="30" customFormat="false" ht="15.75" hidden="false" customHeight="true" outlineLevel="0" collapsed="false">
      <c r="A30" s="19" t="n">
        <v>22</v>
      </c>
      <c r="B30" s="20" t="s">
        <v>69</v>
      </c>
      <c r="C30" s="21" t="s">
        <v>70</v>
      </c>
      <c r="D30" s="25" t="n">
        <f aca="false">IFERROR(VALUE(SUBSTITUTE(INDEX('Paste BPG'!$A:$Z,MATCH($B30,'Paste BPG'!$C:$C,0),MATCH("BP UP/TUP",'Paste BPG'!$3:$3,0)),".","")),0)</f>
        <v>0</v>
      </c>
      <c r="E30" s="23" t="n">
        <f aca="false">IFERROR(VALUE(SUBSTITUTE(INDEX('Paste BPG'!$A:$Z,MATCH($B30,'Paste BPG'!$C:$C,0),MATCH("BP LS BENDAHARA",'Paste BPG'!$3:$3,0)),".","")),0)</f>
        <v>0</v>
      </c>
      <c r="F30" s="23" t="n">
        <f aca="false">IFERROR(VALUE(SUBSTITUTE(INDEX('Paste BPG'!$A:$Z,MATCH($B30,'Paste BPG'!$C:$C,0),MATCH("BP PAJAK",'Paste BPG'!$3:$3,0)),".","")),0)</f>
        <v>0</v>
      </c>
      <c r="G30" s="23" t="n">
        <f aca="false">IFERROR(VALUE(SUBSTITUTE(INDEX('Paste BPG'!$A:$Z,MATCH($B30,'Paste BPG'!$C:$C,0),MATCH("BP HIBAH",'Paste BPG'!$3:$3,0)),".","")),0)</f>
        <v>0</v>
      </c>
      <c r="H30" s="23" t="n">
        <f aca="false">IFERROR(VALUE(SUBSTITUTE(INDEX('Paste BPG'!$A:$Z,MATCH($B30,'Paste BPG'!$C:$C,0),MATCH("BP LAIN-LAIN",'Paste BPG'!$3:$3,0)),".","")),0)</f>
        <v>0</v>
      </c>
      <c r="I30" s="24" t="n">
        <f aca="false">D30+E30+F30+G30+H30</f>
        <v>0</v>
      </c>
      <c r="J30" s="23" t="n">
        <f aca="false">D30</f>
        <v>0</v>
      </c>
      <c r="K30" s="23" t="n">
        <f aca="false">IFERROR(VALUE(SUBSTITUTE(INDEX('Paste BPG'!$A:$Z,MATCH($B30,'Paste BPG'!$C:$C,0),MATCH("KUITANSI",'Paste BPG'!$3:$3,0)),".","")),0)</f>
        <v>0</v>
      </c>
      <c r="L30" s="24" t="n">
        <f aca="false">J30+K30</f>
        <v>0</v>
      </c>
    </row>
    <row r="31" customFormat="false" ht="15.75" hidden="false" customHeight="true" outlineLevel="0" collapsed="false">
      <c r="A31" s="19" t="n">
        <v>23</v>
      </c>
      <c r="B31" s="20" t="s">
        <v>71</v>
      </c>
      <c r="C31" s="21" t="s">
        <v>72</v>
      </c>
      <c r="D31" s="25" t="n">
        <f aca="false">IFERROR(VALUE(SUBSTITUTE(INDEX('Paste BPG'!$A:$Z,MATCH($B31,'Paste BPG'!$C:$C,0),MATCH("BP UP/TUP",'Paste BPG'!$3:$3,0)),".","")),0)</f>
        <v>0</v>
      </c>
      <c r="E31" s="23" t="n">
        <f aca="false">IFERROR(VALUE(SUBSTITUTE(INDEX('Paste BPG'!$A:$Z,MATCH($B31,'Paste BPG'!$C:$C,0),MATCH("BP LS BENDAHARA",'Paste BPG'!$3:$3,0)),".","")),0)</f>
        <v>0</v>
      </c>
      <c r="F31" s="23" t="n">
        <f aca="false">IFERROR(VALUE(SUBSTITUTE(INDEX('Paste BPG'!$A:$Z,MATCH($B31,'Paste BPG'!$C:$C,0),MATCH("BP PAJAK",'Paste BPG'!$3:$3,0)),".","")),0)</f>
        <v>0</v>
      </c>
      <c r="G31" s="23" t="n">
        <f aca="false">IFERROR(VALUE(SUBSTITUTE(INDEX('Paste BPG'!$A:$Z,MATCH($B31,'Paste BPG'!$C:$C,0),MATCH("BP HIBAH",'Paste BPG'!$3:$3,0)),".","")),0)</f>
        <v>0</v>
      </c>
      <c r="H31" s="23" t="n">
        <f aca="false">IFERROR(VALUE(SUBSTITUTE(INDEX('Paste BPG'!$A:$Z,MATCH($B31,'Paste BPG'!$C:$C,0),MATCH("BP LAIN-LAIN",'Paste BPG'!$3:$3,0)),".","")),0)</f>
        <v>0</v>
      </c>
      <c r="I31" s="24" t="n">
        <f aca="false">D31+E31+F31+G31+H31</f>
        <v>0</v>
      </c>
      <c r="J31" s="23" t="n">
        <f aca="false">D31</f>
        <v>0</v>
      </c>
      <c r="K31" s="23" t="n">
        <f aca="false">IFERROR(VALUE(SUBSTITUTE(INDEX('Paste BPG'!$A:$Z,MATCH($B31,'Paste BPG'!$C:$C,0),MATCH("KUITANSI",'Paste BPG'!$3:$3,0)),".","")),0)</f>
        <v>0</v>
      </c>
      <c r="L31" s="24" t="n">
        <f aca="false">J31+K31</f>
        <v>0</v>
      </c>
    </row>
    <row r="32" customFormat="false" ht="15.75" hidden="false" customHeight="true" outlineLevel="0" collapsed="false">
      <c r="A32" s="19" t="n">
        <v>24</v>
      </c>
      <c r="B32" s="20" t="s">
        <v>73</v>
      </c>
      <c r="C32" s="21" t="s">
        <v>74</v>
      </c>
      <c r="D32" s="25" t="n">
        <f aca="false">IFERROR(VALUE(SUBSTITUTE(INDEX('Paste BPG'!$A:$Z,MATCH($B32,'Paste BPG'!$C:$C,0),MATCH("BP UP/TUP",'Paste BPG'!$3:$3,0)),".","")),0)</f>
        <v>0</v>
      </c>
      <c r="E32" s="23" t="n">
        <f aca="false">IFERROR(VALUE(SUBSTITUTE(INDEX('Paste BPG'!$A:$Z,MATCH($B32,'Paste BPG'!$C:$C,0),MATCH("BP LS BENDAHARA",'Paste BPG'!$3:$3,0)),".","")),0)</f>
        <v>0</v>
      </c>
      <c r="F32" s="23" t="n">
        <f aca="false">IFERROR(VALUE(SUBSTITUTE(INDEX('Paste BPG'!$A:$Z,MATCH($B32,'Paste BPG'!$C:$C,0),MATCH("BP PAJAK",'Paste BPG'!$3:$3,0)),".","")),0)</f>
        <v>0</v>
      </c>
      <c r="G32" s="23" t="n">
        <f aca="false">IFERROR(VALUE(SUBSTITUTE(INDEX('Paste BPG'!$A:$Z,MATCH($B32,'Paste BPG'!$C:$C,0),MATCH("BP HIBAH",'Paste BPG'!$3:$3,0)),".","")),0)</f>
        <v>0</v>
      </c>
      <c r="H32" s="23" t="n">
        <f aca="false">IFERROR(VALUE(SUBSTITUTE(INDEX('Paste BPG'!$A:$Z,MATCH($B32,'Paste BPG'!$C:$C,0),MATCH("BP LAIN-LAIN",'Paste BPG'!$3:$3,0)),".","")),0)</f>
        <v>0</v>
      </c>
      <c r="I32" s="24" t="n">
        <f aca="false">D32+E32+F32+G32+H32</f>
        <v>0</v>
      </c>
      <c r="J32" s="23" t="n">
        <f aca="false">D32</f>
        <v>0</v>
      </c>
      <c r="K32" s="23" t="n">
        <f aca="false">IFERROR(VALUE(SUBSTITUTE(INDEX('Paste BPG'!$A:$Z,MATCH($B32,'Paste BPG'!$C:$C,0),MATCH("KUITANSI",'Paste BPG'!$3:$3,0)),".","")),0)</f>
        <v>0</v>
      </c>
      <c r="L32" s="24" t="n">
        <f aca="false">J32+K32</f>
        <v>0</v>
      </c>
    </row>
    <row r="33" customFormat="false" ht="15.75" hidden="false" customHeight="true" outlineLevel="0" collapsed="false">
      <c r="A33" s="27"/>
      <c r="B33" s="28" t="s">
        <v>75</v>
      </c>
      <c r="C33" s="17" t="s">
        <v>76</v>
      </c>
      <c r="D33" s="18" t="n">
        <f aca="false">SUM(D34+D35+D36+D37+D38+D39+D40+D41+D42+D43+D44+D45+D46+D47+D48+D49+D50+D51+D52+D53+D54+D55+D56+D57+D58+D59+D60+D61+D62+D63+D64+D65+D66+D67+D68+D69+D70+D71+D72+D73+D74+D75+D76+D77+D78+D79+D80+D81+D82+D83+D84+D85)</f>
        <v>0</v>
      </c>
      <c r="E33" s="18" t="n">
        <f aca="false">SUM(E34+E35+E36+E37+E38+E39+E40+E41+E42+E43+E44+E45+E46+E47+E48+E49+E50+E51+E52+E53+E54+E55+E56+E57+E58+E59+E60+E61+E62+E63+E64+E65+E66+E67+E68+E69+E70+E71+E72+E73+E74+E75+E76+E77+E78+E79+E80+E81+E82+E83+E84+E85)</f>
        <v>0</v>
      </c>
      <c r="F33" s="29" t="n">
        <f aca="false">SUM(F34+F35+F36+F37+F38+F39+F40+F41+F42+F43+F44+F45+F46+F47+F48+F49+F50+F51+F52+F53+F54+F55+F56+F57+F58+F59+F60+F61+F62+F63+F64+F65+F66+F67+F68+F69+F70+F71+F72+F73+F74+F75+F76+F77+F78+F79+F80+F81+F82+F83+F84+F85)</f>
        <v>0</v>
      </c>
      <c r="G33" s="29" t="n">
        <f aca="false">SUM(G34+G35+G36+G37+G38+G39+G40+G41+G42+G43+G44+G45+G46+G47+G48+G49+G50+G51+G52+G53+G54+G55+G56+G57+G58+G59+G60+G61+G62+G63+G64+G65+G66+G67+G68+G69+G70+G71+G72+G73+G74+G75+G76+G77+G78+G79+G80+G81+G82+G83+G84+G85)</f>
        <v>0</v>
      </c>
      <c r="H33" s="18" t="n">
        <f aca="false">SUM(H34+H35+H36+H37+H38+H39+H40+H41+H42+H43+H44+H45+H46+H47+H48+H49+H50+H51+H52+H53+H54+H55+H56+H57+H58+H59+H60+H61+H62+H63+H64+H65+H66+H67+H68+H69+H70+H71+H72+H73+H74+H75+H76+H77+H78+H79+H80+H81+H82+H83+H84+H85)</f>
        <v>0</v>
      </c>
      <c r="I33" s="18" t="n">
        <f aca="false">D33+E33+F33+G33+H33</f>
        <v>0</v>
      </c>
      <c r="J33" s="18" t="n">
        <f aca="false">SUM(J34+J35+J36+J37+J38+J39+J40+J41+J42+J43+J44+J45+J46+J47+J48+J49+J50+J51+J52+J53+J54+J55+J56+J57+J58+J59+J60+J61+J62+J63+J64+J65+J66+J67+J68+J69+J70+J71+J72+J73+J74+J75+J76+J77+J78+J79+J80+J81+J82+J83+J84+J85)</f>
        <v>0</v>
      </c>
      <c r="K33" s="18" t="n">
        <f aca="false">SUM(K34+K35+K36+K37+K38+K39+K40+K41+K42+K43+K44+K45+K46+K47+K48+K49+K50+K51+K52+K53+K54+K55+K56+K57+K58+K59+K60+K61+K62+K63+K64+K65+K66+K67+K68+K69+K70+K71+K72+K73+K74+K75+K76+K77+K78+K79+K80+K81+K82+K83+K84+K85)</f>
        <v>0</v>
      </c>
      <c r="L33" s="18" t="n">
        <f aca="false">J33+K33</f>
        <v>0</v>
      </c>
    </row>
    <row r="34" customFormat="false" ht="15.75" hidden="false" customHeight="true" outlineLevel="0" collapsed="false">
      <c r="A34" s="19" t="n">
        <v>25</v>
      </c>
      <c r="B34" s="20" t="s">
        <v>77</v>
      </c>
      <c r="C34" s="21" t="s">
        <v>78</v>
      </c>
      <c r="D34" s="25" t="n">
        <f aca="false">IFERROR(VALUE(SUBSTITUTE(INDEX('Paste BPG'!$A:$Z,MATCH($B34,'Paste BPG'!$C:$C,0),MATCH("BP UP/TUP",'Paste BPG'!$3:$3,0)),".","")),0)</f>
        <v>0</v>
      </c>
      <c r="E34" s="23" t="n">
        <f aca="false">IFERROR(VALUE(SUBSTITUTE(INDEX('Paste BPG'!$A:$Z,MATCH($B34,'Paste BPG'!$C:$C,0),MATCH("BP LS BENDAHARA",'Paste BPG'!$3:$3,0)),".","")),0)</f>
        <v>0</v>
      </c>
      <c r="F34" s="23" t="n">
        <f aca="false">IFERROR(VALUE(SUBSTITUTE(INDEX('Paste BPG'!$A:$Z,MATCH($B34,'Paste BPG'!$C:$C,0),MATCH("BP PAJAK",'Paste BPG'!$3:$3,0)),".","")),0)</f>
        <v>0</v>
      </c>
      <c r="G34" s="23" t="n">
        <f aca="false">IFERROR(VALUE(SUBSTITUTE(INDEX('Paste BPG'!$A:$Z,MATCH($B34,'Paste BPG'!$C:$C,0),MATCH("BP HIBAH",'Paste BPG'!$3:$3,0)),".","")),0)</f>
        <v>0</v>
      </c>
      <c r="H34" s="23" t="n">
        <f aca="false">IFERROR(VALUE(SUBSTITUTE(INDEX('Paste BPG'!$A:$Z,MATCH($B34,'Paste BPG'!$C:$C,0),MATCH("BP LAIN-LAIN",'Paste BPG'!$3:$3,0)),".","")),0)</f>
        <v>0</v>
      </c>
      <c r="I34" s="24" t="n">
        <f aca="false">D34+E34+F34+G34+H34</f>
        <v>0</v>
      </c>
      <c r="J34" s="23" t="n">
        <f aca="false">D34</f>
        <v>0</v>
      </c>
      <c r="K34" s="23" t="n">
        <f aca="false">IFERROR(VALUE(SUBSTITUTE(INDEX('Paste BPG'!$A:$Z,MATCH($B34,'Paste BPG'!$C:$C,0),MATCH("KUITANSI",'Paste BPG'!$3:$3,0)),".","")),0)</f>
        <v>0</v>
      </c>
      <c r="L34" s="24" t="n">
        <f aca="false">J34+K34</f>
        <v>0</v>
      </c>
    </row>
    <row r="35" customFormat="false" ht="15.75" hidden="false" customHeight="true" outlineLevel="0" collapsed="false">
      <c r="A35" s="19" t="n">
        <v>26</v>
      </c>
      <c r="B35" s="20" t="s">
        <v>79</v>
      </c>
      <c r="C35" s="21" t="s">
        <v>80</v>
      </c>
      <c r="D35" s="25" t="n">
        <f aca="false">IFERROR(VALUE(SUBSTITUTE(INDEX('Paste BPG'!$A:$Z,MATCH($B35,'Paste BPG'!$C:$C,0),MATCH("BP UP/TUP",'Paste BPG'!$3:$3,0)),".","")),0)</f>
        <v>0</v>
      </c>
      <c r="E35" s="23" t="n">
        <f aca="false">IFERROR(VALUE(SUBSTITUTE(INDEX('Paste BPG'!$A:$Z,MATCH($B35,'Paste BPG'!$C:$C,0),MATCH("BP LS BENDAHARA",'Paste BPG'!$3:$3,0)),".","")),0)</f>
        <v>0</v>
      </c>
      <c r="F35" s="23" t="n">
        <f aca="false">IFERROR(VALUE(SUBSTITUTE(INDEX('Paste BPG'!$A:$Z,MATCH($B35,'Paste BPG'!$C:$C,0),MATCH("BP PAJAK",'Paste BPG'!$3:$3,0)),".","")),0)</f>
        <v>0</v>
      </c>
      <c r="G35" s="23" t="n">
        <f aca="false">IFERROR(VALUE(SUBSTITUTE(INDEX('Paste BPG'!$A:$Z,MATCH($B35,'Paste BPG'!$C:$C,0),MATCH("BP HIBAH",'Paste BPG'!$3:$3,0)),".","")),0)</f>
        <v>0</v>
      </c>
      <c r="H35" s="23" t="n">
        <f aca="false">IFERROR(VALUE(SUBSTITUTE(INDEX('Paste BPG'!$A:$Z,MATCH($B35,'Paste BPG'!$C:$C,0),MATCH("BP LAIN-LAIN",'Paste BPG'!$3:$3,0)),".","")),0)</f>
        <v>0</v>
      </c>
      <c r="I35" s="24" t="n">
        <f aca="false">D35+E35+F35+G35+H35</f>
        <v>0</v>
      </c>
      <c r="J35" s="23" t="n">
        <f aca="false">D35</f>
        <v>0</v>
      </c>
      <c r="K35" s="23" t="n">
        <f aca="false">IFERROR(VALUE(SUBSTITUTE(INDEX('Paste BPG'!$A:$Z,MATCH($B35,'Paste BPG'!$C:$C,0),MATCH("KUITANSI",'Paste BPG'!$3:$3,0)),".","")),0)</f>
        <v>0</v>
      </c>
      <c r="L35" s="24" t="n">
        <f aca="false">J35+K35</f>
        <v>0</v>
      </c>
    </row>
    <row r="36" customFormat="false" ht="15.75" hidden="false" customHeight="true" outlineLevel="0" collapsed="false">
      <c r="A36" s="19" t="n">
        <v>27</v>
      </c>
      <c r="B36" s="20" t="s">
        <v>81</v>
      </c>
      <c r="C36" s="21" t="s">
        <v>82</v>
      </c>
      <c r="D36" s="25" t="n">
        <f aca="false">IFERROR(VALUE(SUBSTITUTE(INDEX('Paste BPG'!$A:$Z,MATCH($B36,'Paste BPG'!$C:$C,0),MATCH("BP UP/TUP",'Paste BPG'!$3:$3,0)),".","")),0)</f>
        <v>0</v>
      </c>
      <c r="E36" s="23" t="n">
        <f aca="false">IFERROR(VALUE(SUBSTITUTE(INDEX('Paste BPG'!$A:$Z,MATCH($B36,'Paste BPG'!$C:$C,0),MATCH("BP LS BENDAHARA",'Paste BPG'!$3:$3,0)),".","")),0)</f>
        <v>0</v>
      </c>
      <c r="F36" s="23" t="n">
        <f aca="false">IFERROR(VALUE(SUBSTITUTE(INDEX('Paste BPG'!$A:$Z,MATCH($B36,'Paste BPG'!$C:$C,0),MATCH("BP PAJAK",'Paste BPG'!$3:$3,0)),".","")),0)</f>
        <v>0</v>
      </c>
      <c r="G36" s="23" t="n">
        <f aca="false">IFERROR(VALUE(SUBSTITUTE(INDEX('Paste BPG'!$A:$Z,MATCH($B36,'Paste BPG'!$C:$C,0),MATCH("BP HIBAH",'Paste BPG'!$3:$3,0)),".","")),0)</f>
        <v>0</v>
      </c>
      <c r="H36" s="23" t="n">
        <f aca="false">IFERROR(VALUE(SUBSTITUTE(INDEX('Paste BPG'!$A:$Z,MATCH($B36,'Paste BPG'!$C:$C,0),MATCH("BP LAIN-LAIN",'Paste BPG'!$3:$3,0)),".","")),0)</f>
        <v>0</v>
      </c>
      <c r="I36" s="24" t="n">
        <f aca="false">D36+E36+F36+G36+H36</f>
        <v>0</v>
      </c>
      <c r="J36" s="23" t="n">
        <f aca="false">D36</f>
        <v>0</v>
      </c>
      <c r="K36" s="23" t="n">
        <f aca="false">IFERROR(VALUE(SUBSTITUTE(INDEX('Paste BPG'!$A:$Z,MATCH($B36,'Paste BPG'!$C:$C,0),MATCH("KUITANSI",'Paste BPG'!$3:$3,0)),".","")),0)</f>
        <v>0</v>
      </c>
      <c r="L36" s="24" t="n">
        <f aca="false">J36+K36</f>
        <v>0</v>
      </c>
    </row>
    <row r="37" customFormat="false" ht="15.75" hidden="false" customHeight="true" outlineLevel="0" collapsed="false">
      <c r="A37" s="19" t="n">
        <v>28</v>
      </c>
      <c r="B37" s="20" t="s">
        <v>83</v>
      </c>
      <c r="C37" s="21" t="s">
        <v>84</v>
      </c>
      <c r="D37" s="25" t="n">
        <f aca="false">IFERROR(VALUE(SUBSTITUTE(INDEX('Paste BPG'!$A:$Z,MATCH($B37,'Paste BPG'!$C:$C,0),MATCH("BP UP/TUP",'Paste BPG'!$3:$3,0)),".","")),0)</f>
        <v>0</v>
      </c>
      <c r="E37" s="23" t="n">
        <f aca="false">IFERROR(VALUE(SUBSTITUTE(INDEX('Paste BPG'!$A:$Z,MATCH($B37,'Paste BPG'!$C:$C,0),MATCH("BP LS BENDAHARA",'Paste BPG'!$3:$3,0)),".","")),0)</f>
        <v>0</v>
      </c>
      <c r="F37" s="23" t="n">
        <f aca="false">IFERROR(VALUE(SUBSTITUTE(INDEX('Paste BPG'!$A:$Z,MATCH($B37,'Paste BPG'!$C:$C,0),MATCH("BP PAJAK",'Paste BPG'!$3:$3,0)),".","")),0)</f>
        <v>0</v>
      </c>
      <c r="G37" s="23" t="n">
        <f aca="false">IFERROR(VALUE(SUBSTITUTE(INDEX('Paste BPG'!$A:$Z,MATCH($B37,'Paste BPG'!$C:$C,0),MATCH("BP HIBAH",'Paste BPG'!$3:$3,0)),".","")),0)</f>
        <v>0</v>
      </c>
      <c r="H37" s="23" t="n">
        <f aca="false">IFERROR(VALUE(SUBSTITUTE(INDEX('Paste BPG'!$A:$Z,MATCH($B37,'Paste BPG'!$C:$C,0),MATCH("BP LAIN-LAIN",'Paste BPG'!$3:$3,0)),".","")),0)</f>
        <v>0</v>
      </c>
      <c r="I37" s="24" t="n">
        <f aca="false">D37+E37+F37+G37+H37</f>
        <v>0</v>
      </c>
      <c r="J37" s="23" t="n">
        <f aca="false">D37</f>
        <v>0</v>
      </c>
      <c r="K37" s="23" t="n">
        <f aca="false">IFERROR(VALUE(SUBSTITUTE(INDEX('Paste BPG'!$A:$Z,MATCH($B37,'Paste BPG'!$C:$C,0),MATCH("KUITANSI",'Paste BPG'!$3:$3,0)),".","")),0)</f>
        <v>0</v>
      </c>
      <c r="L37" s="24" t="n">
        <f aca="false">J37+K37</f>
        <v>0</v>
      </c>
    </row>
    <row r="38" customFormat="false" ht="15.75" hidden="false" customHeight="true" outlineLevel="0" collapsed="false">
      <c r="A38" s="19" t="n">
        <v>29</v>
      </c>
      <c r="B38" s="20" t="s">
        <v>85</v>
      </c>
      <c r="C38" s="21" t="s">
        <v>86</v>
      </c>
      <c r="D38" s="25" t="n">
        <f aca="false">IFERROR(VALUE(SUBSTITUTE(INDEX('Paste BPG'!$A:$Z,MATCH($B38,'Paste BPG'!$C:$C,0),MATCH("BP UP/TUP",'Paste BPG'!$3:$3,0)),".","")),0)</f>
        <v>0</v>
      </c>
      <c r="E38" s="23" t="n">
        <f aca="false">IFERROR(VALUE(SUBSTITUTE(INDEX('Paste BPG'!$A:$Z,MATCH($B38,'Paste BPG'!$C:$C,0),MATCH("BP LS BENDAHARA",'Paste BPG'!$3:$3,0)),".","")),0)</f>
        <v>0</v>
      </c>
      <c r="F38" s="23" t="n">
        <f aca="false">IFERROR(VALUE(SUBSTITUTE(INDEX('Paste BPG'!$A:$Z,MATCH($B38,'Paste BPG'!$C:$C,0),MATCH("BP PAJAK",'Paste BPG'!$3:$3,0)),".","")),0)</f>
        <v>0</v>
      </c>
      <c r="G38" s="23" t="n">
        <f aca="false">IFERROR(VALUE(SUBSTITUTE(INDEX('Paste BPG'!$A:$Z,MATCH($B38,'Paste BPG'!$C:$C,0),MATCH("BP HIBAH",'Paste BPG'!$3:$3,0)),".","")),0)</f>
        <v>0</v>
      </c>
      <c r="H38" s="23" t="n">
        <f aca="false">IFERROR(VALUE(SUBSTITUTE(INDEX('Paste BPG'!$A:$Z,MATCH($B38,'Paste BPG'!$C:$C,0),MATCH("BP LAIN-LAIN",'Paste BPG'!$3:$3,0)),".","")),0)</f>
        <v>0</v>
      </c>
      <c r="I38" s="24" t="n">
        <f aca="false">D38+E38+F38+G38+H38</f>
        <v>0</v>
      </c>
      <c r="J38" s="23" t="n">
        <f aca="false">D38</f>
        <v>0</v>
      </c>
      <c r="K38" s="23" t="n">
        <f aca="false">IFERROR(VALUE(SUBSTITUTE(INDEX('Paste BPG'!$A:$Z,MATCH($B38,'Paste BPG'!$C:$C,0),MATCH("KUITANSI",'Paste BPG'!$3:$3,0)),".","")),0)</f>
        <v>0</v>
      </c>
      <c r="L38" s="24" t="n">
        <f aca="false">J38+K38</f>
        <v>0</v>
      </c>
    </row>
    <row r="39" customFormat="false" ht="15.75" hidden="false" customHeight="true" outlineLevel="0" collapsed="false">
      <c r="A39" s="19" t="n">
        <v>30</v>
      </c>
      <c r="B39" s="20" t="s">
        <v>87</v>
      </c>
      <c r="C39" s="21" t="s">
        <v>88</v>
      </c>
      <c r="D39" s="25" t="n">
        <f aca="false">IFERROR(VALUE(SUBSTITUTE(INDEX('Paste BPG'!$A:$Z,MATCH($B39,'Paste BPG'!$C:$C,0),MATCH("BP UP/TUP",'Paste BPG'!$3:$3,0)),".","")),0)</f>
        <v>0</v>
      </c>
      <c r="E39" s="23" t="n">
        <f aca="false">IFERROR(VALUE(SUBSTITUTE(INDEX('Paste BPG'!$A:$Z,MATCH($B39,'Paste BPG'!$C:$C,0),MATCH("BP LS BENDAHARA",'Paste BPG'!$3:$3,0)),".","")),0)</f>
        <v>0</v>
      </c>
      <c r="F39" s="23" t="n">
        <f aca="false">IFERROR(VALUE(SUBSTITUTE(INDEX('Paste BPG'!$A:$Z,MATCH($B39,'Paste BPG'!$C:$C,0),MATCH("BP PAJAK",'Paste BPG'!$3:$3,0)),".","")),0)</f>
        <v>0</v>
      </c>
      <c r="G39" s="23" t="n">
        <f aca="false">IFERROR(VALUE(SUBSTITUTE(INDEX('Paste BPG'!$A:$Z,MATCH($B39,'Paste BPG'!$C:$C,0),MATCH("BP HIBAH",'Paste BPG'!$3:$3,0)),".","")),0)</f>
        <v>0</v>
      </c>
      <c r="H39" s="23" t="n">
        <f aca="false">IFERROR(VALUE(SUBSTITUTE(INDEX('Paste BPG'!$A:$Z,MATCH($B39,'Paste BPG'!$C:$C,0),MATCH("BP LAIN-LAIN",'Paste BPG'!$3:$3,0)),".","")),0)</f>
        <v>0</v>
      </c>
      <c r="I39" s="24" t="n">
        <f aca="false">D39+E39+F39+G39+H39</f>
        <v>0</v>
      </c>
      <c r="J39" s="23" t="n">
        <f aca="false">D39</f>
        <v>0</v>
      </c>
      <c r="K39" s="23" t="n">
        <f aca="false">IFERROR(VALUE(SUBSTITUTE(INDEX('Paste BPG'!$A:$Z,MATCH($B39,'Paste BPG'!$C:$C,0),MATCH("KUITANSI",'Paste BPG'!$3:$3,0)),".","")),0)</f>
        <v>0</v>
      </c>
      <c r="L39" s="24" t="n">
        <f aca="false">J39+K39</f>
        <v>0</v>
      </c>
    </row>
    <row r="40" customFormat="false" ht="15.75" hidden="false" customHeight="true" outlineLevel="0" collapsed="false">
      <c r="A40" s="19" t="n">
        <v>31</v>
      </c>
      <c r="B40" s="20" t="s">
        <v>89</v>
      </c>
      <c r="C40" s="21" t="s">
        <v>90</v>
      </c>
      <c r="D40" s="25" t="n">
        <f aca="false">IFERROR(VALUE(SUBSTITUTE(INDEX('Paste BPG'!$A:$Z,MATCH($B40,'Paste BPG'!$C:$C,0),MATCH("BP UP/TUP",'Paste BPG'!$3:$3,0)),".","")),0)</f>
        <v>0</v>
      </c>
      <c r="E40" s="23" t="n">
        <f aca="false">IFERROR(VALUE(SUBSTITUTE(INDEX('Paste BPG'!$A:$Z,MATCH($B40,'Paste BPG'!$C:$C,0),MATCH("BP LS BENDAHARA",'Paste BPG'!$3:$3,0)),".","")),0)</f>
        <v>0</v>
      </c>
      <c r="F40" s="23" t="n">
        <f aca="false">IFERROR(VALUE(SUBSTITUTE(INDEX('Paste BPG'!$A:$Z,MATCH($B40,'Paste BPG'!$C:$C,0),MATCH("BP PAJAK",'Paste BPG'!$3:$3,0)),".","")),0)</f>
        <v>0</v>
      </c>
      <c r="G40" s="23" t="n">
        <f aca="false">IFERROR(VALUE(SUBSTITUTE(INDEX('Paste BPG'!$A:$Z,MATCH($B40,'Paste BPG'!$C:$C,0),MATCH("BP HIBAH",'Paste BPG'!$3:$3,0)),".","")),0)</f>
        <v>0</v>
      </c>
      <c r="H40" s="23" t="n">
        <f aca="false">IFERROR(VALUE(SUBSTITUTE(INDEX('Paste BPG'!$A:$Z,MATCH($B40,'Paste BPG'!$C:$C,0),MATCH("BP LAIN-LAIN",'Paste BPG'!$3:$3,0)),".","")),0)</f>
        <v>0</v>
      </c>
      <c r="I40" s="24" t="n">
        <f aca="false">D40+E40+F40+G40+H40</f>
        <v>0</v>
      </c>
      <c r="J40" s="23" t="n">
        <f aca="false">D40</f>
        <v>0</v>
      </c>
      <c r="K40" s="23" t="n">
        <f aca="false">IFERROR(VALUE(SUBSTITUTE(INDEX('Paste BPG'!$A:$Z,MATCH($B40,'Paste BPG'!$C:$C,0),MATCH("KUITANSI",'Paste BPG'!$3:$3,0)),".","")),0)</f>
        <v>0</v>
      </c>
      <c r="L40" s="24" t="n">
        <f aca="false">J40+K40</f>
        <v>0</v>
      </c>
    </row>
    <row r="41" customFormat="false" ht="15.75" hidden="false" customHeight="true" outlineLevel="0" collapsed="false">
      <c r="A41" s="19" t="n">
        <v>32</v>
      </c>
      <c r="B41" s="20" t="s">
        <v>91</v>
      </c>
      <c r="C41" s="21" t="s">
        <v>92</v>
      </c>
      <c r="D41" s="25" t="n">
        <f aca="false">IFERROR(VALUE(SUBSTITUTE(INDEX('Paste BPG'!$A:$Z,MATCH($B41,'Paste BPG'!$C:$C,0),MATCH("BP UP/TUP",'Paste BPG'!$3:$3,0)),".","")),0)</f>
        <v>0</v>
      </c>
      <c r="E41" s="23" t="n">
        <f aca="false">IFERROR(VALUE(SUBSTITUTE(INDEX('Paste BPG'!$A:$Z,MATCH($B41,'Paste BPG'!$C:$C,0),MATCH("BP LS BENDAHARA",'Paste BPG'!$3:$3,0)),".","")),0)</f>
        <v>0</v>
      </c>
      <c r="F41" s="23" t="n">
        <f aca="false">IFERROR(VALUE(SUBSTITUTE(INDEX('Paste BPG'!$A:$Z,MATCH($B41,'Paste BPG'!$C:$C,0),MATCH("BP PAJAK",'Paste BPG'!$3:$3,0)),".","")),0)</f>
        <v>0</v>
      </c>
      <c r="G41" s="23" t="n">
        <f aca="false">IFERROR(VALUE(SUBSTITUTE(INDEX('Paste BPG'!$A:$Z,MATCH($B41,'Paste BPG'!$C:$C,0),MATCH("BP HIBAH",'Paste BPG'!$3:$3,0)),".","")),0)</f>
        <v>0</v>
      </c>
      <c r="H41" s="23" t="n">
        <f aca="false">IFERROR(VALUE(SUBSTITUTE(INDEX('Paste BPG'!$A:$Z,MATCH($B41,'Paste BPG'!$C:$C,0),MATCH("BP LAIN-LAIN",'Paste BPG'!$3:$3,0)),".","")),0)</f>
        <v>0</v>
      </c>
      <c r="I41" s="24" t="n">
        <f aca="false">D41+E41+F41+G41+H41</f>
        <v>0</v>
      </c>
      <c r="J41" s="23" t="n">
        <f aca="false">D41</f>
        <v>0</v>
      </c>
      <c r="K41" s="23" t="n">
        <f aca="false">IFERROR(VALUE(SUBSTITUTE(INDEX('Paste BPG'!$A:$Z,MATCH($B41,'Paste BPG'!$C:$C,0),MATCH("KUITANSI",'Paste BPG'!$3:$3,0)),".","")),0)</f>
        <v>0</v>
      </c>
      <c r="L41" s="24" t="n">
        <f aca="false">J41+K41</f>
        <v>0</v>
      </c>
    </row>
    <row r="42" customFormat="false" ht="15.75" hidden="false" customHeight="true" outlineLevel="0" collapsed="false">
      <c r="A42" s="19" t="n">
        <v>33</v>
      </c>
      <c r="B42" s="20" t="s">
        <v>93</v>
      </c>
      <c r="C42" s="21" t="s">
        <v>94</v>
      </c>
      <c r="D42" s="25" t="n">
        <f aca="false">IFERROR(VALUE(SUBSTITUTE(INDEX('Paste BPG'!$A:$Z,MATCH($B42,'Paste BPG'!$C:$C,0),MATCH("BP UP/TUP",'Paste BPG'!$3:$3,0)),".","")),0)</f>
        <v>0</v>
      </c>
      <c r="E42" s="23" t="n">
        <f aca="false">IFERROR(VALUE(SUBSTITUTE(INDEX('Paste BPG'!$A:$Z,MATCH($B42,'Paste BPG'!$C:$C,0),MATCH("BP LS BENDAHARA",'Paste BPG'!$3:$3,0)),".","")),0)</f>
        <v>0</v>
      </c>
      <c r="F42" s="23" t="n">
        <f aca="false">IFERROR(VALUE(SUBSTITUTE(INDEX('Paste BPG'!$A:$Z,MATCH($B42,'Paste BPG'!$C:$C,0),MATCH("BP PAJAK",'Paste BPG'!$3:$3,0)),".","")),0)</f>
        <v>0</v>
      </c>
      <c r="G42" s="23" t="n">
        <f aca="false">IFERROR(VALUE(SUBSTITUTE(INDEX('Paste BPG'!$A:$Z,MATCH($B42,'Paste BPG'!$C:$C,0),MATCH("BP HIBAH",'Paste BPG'!$3:$3,0)),".","")),0)</f>
        <v>0</v>
      </c>
      <c r="H42" s="23" t="n">
        <f aca="false">IFERROR(VALUE(SUBSTITUTE(INDEX('Paste BPG'!$A:$Z,MATCH($B42,'Paste BPG'!$C:$C,0),MATCH("BP LAIN-LAIN",'Paste BPG'!$3:$3,0)),".","")),0)</f>
        <v>0</v>
      </c>
      <c r="I42" s="24" t="n">
        <f aca="false">D42+E42+F42+G42+H42</f>
        <v>0</v>
      </c>
      <c r="J42" s="23" t="n">
        <f aca="false">D42</f>
        <v>0</v>
      </c>
      <c r="K42" s="23" t="n">
        <f aca="false">IFERROR(VALUE(SUBSTITUTE(INDEX('Paste BPG'!$A:$Z,MATCH($B42,'Paste BPG'!$C:$C,0),MATCH("KUITANSI",'Paste BPG'!$3:$3,0)),".","")),0)</f>
        <v>0</v>
      </c>
      <c r="L42" s="24" t="n">
        <f aca="false">J42+K42</f>
        <v>0</v>
      </c>
    </row>
    <row r="43" customFormat="false" ht="15.75" hidden="false" customHeight="true" outlineLevel="0" collapsed="false">
      <c r="A43" s="19" t="n">
        <v>34</v>
      </c>
      <c r="B43" s="20" t="s">
        <v>95</v>
      </c>
      <c r="C43" s="21" t="s">
        <v>96</v>
      </c>
      <c r="D43" s="25" t="n">
        <f aca="false">IFERROR(VALUE(SUBSTITUTE(INDEX('Paste BPG'!$A:$Z,MATCH($B43,'Paste BPG'!$C:$C,0),MATCH("BP UP/TUP",'Paste BPG'!$3:$3,0)),".","")),0)</f>
        <v>0</v>
      </c>
      <c r="E43" s="23" t="n">
        <f aca="false">IFERROR(VALUE(SUBSTITUTE(INDEX('Paste BPG'!$A:$Z,MATCH($B43,'Paste BPG'!$C:$C,0),MATCH("BP LS BENDAHARA",'Paste BPG'!$3:$3,0)),".","")),0)</f>
        <v>0</v>
      </c>
      <c r="F43" s="23" t="n">
        <f aca="false">IFERROR(VALUE(SUBSTITUTE(INDEX('Paste BPG'!$A:$Z,MATCH($B43,'Paste BPG'!$C:$C,0),MATCH("BP PAJAK",'Paste BPG'!$3:$3,0)),".","")),0)</f>
        <v>0</v>
      </c>
      <c r="G43" s="23" t="n">
        <f aca="false">IFERROR(VALUE(SUBSTITUTE(INDEX('Paste BPG'!$A:$Z,MATCH($B43,'Paste BPG'!$C:$C,0),MATCH("BP HIBAH",'Paste BPG'!$3:$3,0)),".","")),0)</f>
        <v>0</v>
      </c>
      <c r="H43" s="23" t="n">
        <f aca="false">IFERROR(VALUE(SUBSTITUTE(INDEX('Paste BPG'!$A:$Z,MATCH($B43,'Paste BPG'!$C:$C,0),MATCH("BP LAIN-LAIN",'Paste BPG'!$3:$3,0)),".","")),0)</f>
        <v>0</v>
      </c>
      <c r="I43" s="24" t="n">
        <f aca="false">D43+E43+F43+G43+H43</f>
        <v>0</v>
      </c>
      <c r="J43" s="23" t="n">
        <f aca="false">D43</f>
        <v>0</v>
      </c>
      <c r="K43" s="23" t="n">
        <f aca="false">IFERROR(VALUE(SUBSTITUTE(INDEX('Paste BPG'!$A:$Z,MATCH($B43,'Paste BPG'!$C:$C,0),MATCH("KUITANSI",'Paste BPG'!$3:$3,0)),".","")),0)</f>
        <v>0</v>
      </c>
      <c r="L43" s="24" t="n">
        <f aca="false">J43+K43</f>
        <v>0</v>
      </c>
    </row>
    <row r="44" customFormat="false" ht="15.75" hidden="false" customHeight="true" outlineLevel="0" collapsed="false">
      <c r="A44" s="19" t="n">
        <v>35</v>
      </c>
      <c r="B44" s="20" t="s">
        <v>97</v>
      </c>
      <c r="C44" s="21" t="s">
        <v>98</v>
      </c>
      <c r="D44" s="25" t="n">
        <f aca="false">IFERROR(VALUE(SUBSTITUTE(INDEX('Paste BPG'!$A:$Z,MATCH($B44,'Paste BPG'!$C:$C,0),MATCH("BP UP/TUP",'Paste BPG'!$3:$3,0)),".","")),0)</f>
        <v>0</v>
      </c>
      <c r="E44" s="23" t="n">
        <f aca="false">IFERROR(VALUE(SUBSTITUTE(INDEX('Paste BPG'!$A:$Z,MATCH($B44,'Paste BPG'!$C:$C,0),MATCH("BP LS BENDAHARA",'Paste BPG'!$3:$3,0)),".","")),0)</f>
        <v>0</v>
      </c>
      <c r="F44" s="23" t="n">
        <f aca="false">IFERROR(VALUE(SUBSTITUTE(INDEX('Paste BPG'!$A:$Z,MATCH($B44,'Paste BPG'!$C:$C,0),MATCH("BP PAJAK",'Paste BPG'!$3:$3,0)),".","")),0)</f>
        <v>0</v>
      </c>
      <c r="G44" s="23" t="n">
        <f aca="false">IFERROR(VALUE(SUBSTITUTE(INDEX('Paste BPG'!$A:$Z,MATCH($B44,'Paste BPG'!$C:$C,0),MATCH("BP HIBAH",'Paste BPG'!$3:$3,0)),".","")),0)</f>
        <v>0</v>
      </c>
      <c r="H44" s="23" t="n">
        <f aca="false">IFERROR(VALUE(SUBSTITUTE(INDEX('Paste BPG'!$A:$Z,MATCH($B44,'Paste BPG'!$C:$C,0),MATCH("BP LAIN-LAIN",'Paste BPG'!$3:$3,0)),".","")),0)</f>
        <v>0</v>
      </c>
      <c r="I44" s="24" t="n">
        <f aca="false">D44+E44+F44+G44+H44</f>
        <v>0</v>
      </c>
      <c r="J44" s="23" t="n">
        <f aca="false">D44</f>
        <v>0</v>
      </c>
      <c r="K44" s="23" t="n">
        <f aca="false">IFERROR(VALUE(SUBSTITUTE(INDEX('Paste BPG'!$A:$Z,MATCH($B44,'Paste BPG'!$C:$C,0),MATCH("KUITANSI",'Paste BPG'!$3:$3,0)),".","")),0)</f>
        <v>0</v>
      </c>
      <c r="L44" s="24" t="n">
        <f aca="false">J44+K44</f>
        <v>0</v>
      </c>
    </row>
    <row r="45" customFormat="false" ht="15.75" hidden="false" customHeight="true" outlineLevel="0" collapsed="false">
      <c r="A45" s="19" t="n">
        <v>36</v>
      </c>
      <c r="B45" s="20" t="s">
        <v>99</v>
      </c>
      <c r="C45" s="21" t="s">
        <v>100</v>
      </c>
      <c r="D45" s="25" t="n">
        <f aca="false">IFERROR(VALUE(SUBSTITUTE(INDEX('Paste BPG'!$A:$Z,MATCH($B45,'Paste BPG'!$C:$C,0),MATCH("BP UP/TUP",'Paste BPG'!$3:$3,0)),".","")),0)</f>
        <v>0</v>
      </c>
      <c r="E45" s="23" t="n">
        <f aca="false">IFERROR(VALUE(SUBSTITUTE(INDEX('Paste BPG'!$A:$Z,MATCH($B45,'Paste BPG'!$C:$C,0),MATCH("BP LS BENDAHARA",'Paste BPG'!$3:$3,0)),".","")),0)</f>
        <v>0</v>
      </c>
      <c r="F45" s="23" t="n">
        <f aca="false">IFERROR(VALUE(SUBSTITUTE(INDEX('Paste BPG'!$A:$Z,MATCH($B45,'Paste BPG'!$C:$C,0),MATCH("BP PAJAK",'Paste BPG'!$3:$3,0)),".","")),0)</f>
        <v>0</v>
      </c>
      <c r="G45" s="23" t="n">
        <f aca="false">IFERROR(VALUE(SUBSTITUTE(INDEX('Paste BPG'!$A:$Z,MATCH($B45,'Paste BPG'!$C:$C,0),MATCH("BP HIBAH",'Paste BPG'!$3:$3,0)),".","")),0)</f>
        <v>0</v>
      </c>
      <c r="H45" s="23" t="n">
        <f aca="false">IFERROR(VALUE(SUBSTITUTE(INDEX('Paste BPG'!$A:$Z,MATCH($B45,'Paste BPG'!$C:$C,0),MATCH("BP LAIN-LAIN",'Paste BPG'!$3:$3,0)),".","")),0)</f>
        <v>0</v>
      </c>
      <c r="I45" s="24" t="n">
        <f aca="false">D45+E45+F45+G45+H45</f>
        <v>0</v>
      </c>
      <c r="J45" s="23" t="n">
        <f aca="false">D45</f>
        <v>0</v>
      </c>
      <c r="K45" s="23" t="n">
        <f aca="false">IFERROR(VALUE(SUBSTITUTE(INDEX('Paste BPG'!$A:$Z,MATCH($B45,'Paste BPG'!$C:$C,0),MATCH("KUITANSI",'Paste BPG'!$3:$3,0)),".","")),0)</f>
        <v>0</v>
      </c>
      <c r="L45" s="24" t="n">
        <f aca="false">J45+K45</f>
        <v>0</v>
      </c>
    </row>
    <row r="46" customFormat="false" ht="15.75" hidden="false" customHeight="true" outlineLevel="0" collapsed="false">
      <c r="A46" s="19" t="n">
        <v>37</v>
      </c>
      <c r="B46" s="20" t="s">
        <v>101</v>
      </c>
      <c r="C46" s="21" t="s">
        <v>102</v>
      </c>
      <c r="D46" s="25" t="n">
        <f aca="false">IFERROR(VALUE(SUBSTITUTE(INDEX('Paste BPG'!$A:$Z,MATCH($B46,'Paste BPG'!$C:$C,0),MATCH("BP UP/TUP",'Paste BPG'!$3:$3,0)),".","")),0)</f>
        <v>0</v>
      </c>
      <c r="E46" s="23" t="n">
        <f aca="false">IFERROR(VALUE(SUBSTITUTE(INDEX('Paste BPG'!$A:$Z,MATCH($B46,'Paste BPG'!$C:$C,0),MATCH("BP LS BENDAHARA",'Paste BPG'!$3:$3,0)),".","")),0)</f>
        <v>0</v>
      </c>
      <c r="F46" s="23" t="n">
        <f aca="false">IFERROR(VALUE(SUBSTITUTE(INDEX('Paste BPG'!$A:$Z,MATCH($B46,'Paste BPG'!$C:$C,0),MATCH("BP PAJAK",'Paste BPG'!$3:$3,0)),".","")),0)</f>
        <v>0</v>
      </c>
      <c r="G46" s="23" t="n">
        <f aca="false">IFERROR(VALUE(SUBSTITUTE(INDEX('Paste BPG'!$A:$Z,MATCH($B46,'Paste BPG'!$C:$C,0),MATCH("BP HIBAH",'Paste BPG'!$3:$3,0)),".","")),0)</f>
        <v>0</v>
      </c>
      <c r="H46" s="23" t="n">
        <f aca="false">IFERROR(VALUE(SUBSTITUTE(INDEX('Paste BPG'!$A:$Z,MATCH($B46,'Paste BPG'!$C:$C,0),MATCH("BP LAIN-LAIN",'Paste BPG'!$3:$3,0)),".","")),0)</f>
        <v>0</v>
      </c>
      <c r="I46" s="24" t="n">
        <f aca="false">D46+E46+F46+G46+H46</f>
        <v>0</v>
      </c>
      <c r="J46" s="23" t="n">
        <f aca="false">D46</f>
        <v>0</v>
      </c>
      <c r="K46" s="23" t="n">
        <f aca="false">IFERROR(VALUE(SUBSTITUTE(INDEX('Paste BPG'!$A:$Z,MATCH($B46,'Paste BPG'!$C:$C,0),MATCH("KUITANSI",'Paste BPG'!$3:$3,0)),".","")),0)</f>
        <v>0</v>
      </c>
      <c r="L46" s="24" t="n">
        <f aca="false">J46+K46</f>
        <v>0</v>
      </c>
    </row>
    <row r="47" customFormat="false" ht="15.75" hidden="false" customHeight="true" outlineLevel="0" collapsed="false">
      <c r="A47" s="19" t="n">
        <v>38</v>
      </c>
      <c r="B47" s="20" t="s">
        <v>103</v>
      </c>
      <c r="C47" s="21" t="s">
        <v>104</v>
      </c>
      <c r="D47" s="25" t="n">
        <f aca="false">IFERROR(VALUE(SUBSTITUTE(INDEX('Paste BPG'!$A:$Z,MATCH($B47,'Paste BPG'!$C:$C,0),MATCH("BP UP/TUP",'Paste BPG'!$3:$3,0)),".","")),0)</f>
        <v>0</v>
      </c>
      <c r="E47" s="23" t="n">
        <f aca="false">IFERROR(VALUE(SUBSTITUTE(INDEX('Paste BPG'!$A:$Z,MATCH($B47,'Paste BPG'!$C:$C,0),MATCH("BP LS BENDAHARA",'Paste BPG'!$3:$3,0)),".","")),0)</f>
        <v>0</v>
      </c>
      <c r="F47" s="23" t="n">
        <f aca="false">IFERROR(VALUE(SUBSTITUTE(INDEX('Paste BPG'!$A:$Z,MATCH($B47,'Paste BPG'!$C:$C,0),MATCH("BP PAJAK",'Paste BPG'!$3:$3,0)),".","")),0)</f>
        <v>0</v>
      </c>
      <c r="G47" s="23" t="n">
        <f aca="false">IFERROR(VALUE(SUBSTITUTE(INDEX('Paste BPG'!$A:$Z,MATCH($B47,'Paste BPG'!$C:$C,0),MATCH("BP HIBAH",'Paste BPG'!$3:$3,0)),".","")),0)</f>
        <v>0</v>
      </c>
      <c r="H47" s="23" t="n">
        <f aca="false">IFERROR(VALUE(SUBSTITUTE(INDEX('Paste BPG'!$A:$Z,MATCH($B47,'Paste BPG'!$C:$C,0),MATCH("BP LAIN-LAIN",'Paste BPG'!$3:$3,0)),".","")),0)</f>
        <v>0</v>
      </c>
      <c r="I47" s="24" t="n">
        <f aca="false">D47+E47+F47+G47+H47</f>
        <v>0</v>
      </c>
      <c r="J47" s="23" t="n">
        <f aca="false">D47</f>
        <v>0</v>
      </c>
      <c r="K47" s="23" t="n">
        <f aca="false">IFERROR(VALUE(SUBSTITUTE(INDEX('Paste BPG'!$A:$Z,MATCH($B47,'Paste BPG'!$C:$C,0),MATCH("KUITANSI",'Paste BPG'!$3:$3,0)),".","")),0)</f>
        <v>0</v>
      </c>
      <c r="L47" s="24" t="n">
        <f aca="false">J47+K47</f>
        <v>0</v>
      </c>
    </row>
    <row r="48" customFormat="false" ht="15.75" hidden="false" customHeight="true" outlineLevel="0" collapsed="false">
      <c r="A48" s="19" t="n">
        <v>39</v>
      </c>
      <c r="B48" s="20" t="s">
        <v>105</v>
      </c>
      <c r="C48" s="21" t="s">
        <v>106</v>
      </c>
      <c r="D48" s="25" t="n">
        <f aca="false">IFERROR(VALUE(SUBSTITUTE(INDEX('Paste BPG'!$A:$Z,MATCH($B48,'Paste BPG'!$C:$C,0),MATCH("BP UP/TUP",'Paste BPG'!$3:$3,0)),".","")),0)</f>
        <v>0</v>
      </c>
      <c r="E48" s="23" t="n">
        <f aca="false">IFERROR(VALUE(SUBSTITUTE(INDEX('Paste BPG'!$A:$Z,MATCH($B48,'Paste BPG'!$C:$C,0),MATCH("BP LS BENDAHARA",'Paste BPG'!$3:$3,0)),".","")),0)</f>
        <v>0</v>
      </c>
      <c r="F48" s="23" t="n">
        <f aca="false">IFERROR(VALUE(SUBSTITUTE(INDEX('Paste BPG'!$A:$Z,MATCH($B48,'Paste BPG'!$C:$C,0),MATCH("BP PAJAK",'Paste BPG'!$3:$3,0)),".","")),0)</f>
        <v>0</v>
      </c>
      <c r="G48" s="23" t="n">
        <f aca="false">IFERROR(VALUE(SUBSTITUTE(INDEX('Paste BPG'!$A:$Z,MATCH($B48,'Paste BPG'!$C:$C,0),MATCH("BP HIBAH",'Paste BPG'!$3:$3,0)),".","")),0)</f>
        <v>0</v>
      </c>
      <c r="H48" s="23" t="n">
        <f aca="false">IFERROR(VALUE(SUBSTITUTE(INDEX('Paste BPG'!$A:$Z,MATCH($B48,'Paste BPG'!$C:$C,0),MATCH("BP LAIN-LAIN",'Paste BPG'!$3:$3,0)),".","")),0)</f>
        <v>0</v>
      </c>
      <c r="I48" s="24" t="n">
        <f aca="false">D48+E48+F48+G48+H48</f>
        <v>0</v>
      </c>
      <c r="J48" s="23" t="n">
        <f aca="false">D48</f>
        <v>0</v>
      </c>
      <c r="K48" s="23" t="n">
        <f aca="false">IFERROR(VALUE(SUBSTITUTE(INDEX('Paste BPG'!$A:$Z,MATCH($B48,'Paste BPG'!$C:$C,0),MATCH("KUITANSI",'Paste BPG'!$3:$3,0)),".","")),0)</f>
        <v>0</v>
      </c>
      <c r="L48" s="24" t="n">
        <f aca="false">J48+K48</f>
        <v>0</v>
      </c>
    </row>
    <row r="49" customFormat="false" ht="15.75" hidden="false" customHeight="true" outlineLevel="0" collapsed="false">
      <c r="A49" s="19" t="n">
        <v>40</v>
      </c>
      <c r="B49" s="20" t="s">
        <v>107</v>
      </c>
      <c r="C49" s="21" t="s">
        <v>108</v>
      </c>
      <c r="D49" s="25" t="n">
        <f aca="false">IFERROR(VALUE(SUBSTITUTE(INDEX('Paste BPG'!$A:$Z,MATCH($B49,'Paste BPG'!$C:$C,0),MATCH("BP UP/TUP",'Paste BPG'!$3:$3,0)),".","")),0)</f>
        <v>0</v>
      </c>
      <c r="E49" s="23" t="n">
        <f aca="false">IFERROR(VALUE(SUBSTITUTE(INDEX('Paste BPG'!$A:$Z,MATCH($B49,'Paste BPG'!$C:$C,0),MATCH("BP LS BENDAHARA",'Paste BPG'!$3:$3,0)),".","")),0)</f>
        <v>0</v>
      </c>
      <c r="F49" s="23" t="n">
        <f aca="false">IFERROR(VALUE(SUBSTITUTE(INDEX('Paste BPG'!$A:$Z,MATCH($B49,'Paste BPG'!$C:$C,0),MATCH("BP PAJAK",'Paste BPG'!$3:$3,0)),".","")),0)</f>
        <v>0</v>
      </c>
      <c r="G49" s="23" t="n">
        <f aca="false">IFERROR(VALUE(SUBSTITUTE(INDEX('Paste BPG'!$A:$Z,MATCH($B49,'Paste BPG'!$C:$C,0),MATCH("BP HIBAH",'Paste BPG'!$3:$3,0)),".","")),0)</f>
        <v>0</v>
      </c>
      <c r="H49" s="23" t="n">
        <f aca="false">IFERROR(VALUE(SUBSTITUTE(INDEX('Paste BPG'!$A:$Z,MATCH($B49,'Paste BPG'!$C:$C,0),MATCH("BP LAIN-LAIN",'Paste BPG'!$3:$3,0)),".","")),0)</f>
        <v>0</v>
      </c>
      <c r="I49" s="24" t="n">
        <f aca="false">D49+E49+F49+G49+H49</f>
        <v>0</v>
      </c>
      <c r="J49" s="23" t="n">
        <f aca="false">D49</f>
        <v>0</v>
      </c>
      <c r="K49" s="23" t="n">
        <f aca="false">IFERROR(VALUE(SUBSTITUTE(INDEX('Paste BPG'!$A:$Z,MATCH($B49,'Paste BPG'!$C:$C,0),MATCH("KUITANSI",'Paste BPG'!$3:$3,0)),".","")),0)</f>
        <v>0</v>
      </c>
      <c r="L49" s="24" t="n">
        <f aca="false">J49+K49</f>
        <v>0</v>
      </c>
    </row>
    <row r="50" customFormat="false" ht="15.75" hidden="false" customHeight="true" outlineLevel="0" collapsed="false">
      <c r="A50" s="19" t="n">
        <v>41</v>
      </c>
      <c r="B50" s="20" t="s">
        <v>109</v>
      </c>
      <c r="C50" s="21" t="s">
        <v>110</v>
      </c>
      <c r="D50" s="25" t="n">
        <f aca="false">IFERROR(VALUE(SUBSTITUTE(INDEX('Paste BPG'!$A:$Z,MATCH($B50,'Paste BPG'!$C:$C,0),MATCH("BP UP/TUP",'Paste BPG'!$3:$3,0)),".","")),0)</f>
        <v>0</v>
      </c>
      <c r="E50" s="23" t="n">
        <f aca="false">IFERROR(VALUE(SUBSTITUTE(INDEX('Paste BPG'!$A:$Z,MATCH($B50,'Paste BPG'!$C:$C,0),MATCH("BP LS BENDAHARA",'Paste BPG'!$3:$3,0)),".","")),0)</f>
        <v>0</v>
      </c>
      <c r="F50" s="23" t="n">
        <f aca="false">IFERROR(VALUE(SUBSTITUTE(INDEX('Paste BPG'!$A:$Z,MATCH($B50,'Paste BPG'!$C:$C,0),MATCH("BP PAJAK",'Paste BPG'!$3:$3,0)),".","")),0)</f>
        <v>0</v>
      </c>
      <c r="G50" s="23" t="n">
        <f aca="false">IFERROR(VALUE(SUBSTITUTE(INDEX('Paste BPG'!$A:$Z,MATCH($B50,'Paste BPG'!$C:$C,0),MATCH("BP HIBAH",'Paste BPG'!$3:$3,0)),".","")),0)</f>
        <v>0</v>
      </c>
      <c r="H50" s="23" t="n">
        <f aca="false">IFERROR(VALUE(SUBSTITUTE(INDEX('Paste BPG'!$A:$Z,MATCH($B50,'Paste BPG'!$C:$C,0),MATCH("BP LAIN-LAIN",'Paste BPG'!$3:$3,0)),".","")),0)</f>
        <v>0</v>
      </c>
      <c r="I50" s="24" t="n">
        <f aca="false">D50+E50+F50+G50+H50</f>
        <v>0</v>
      </c>
      <c r="J50" s="23" t="n">
        <f aca="false">D50</f>
        <v>0</v>
      </c>
      <c r="K50" s="23" t="n">
        <f aca="false">IFERROR(VALUE(SUBSTITUTE(INDEX('Paste BPG'!$A:$Z,MATCH($B50,'Paste BPG'!$C:$C,0),MATCH("KUITANSI",'Paste BPG'!$3:$3,0)),".","")),0)</f>
        <v>0</v>
      </c>
      <c r="L50" s="24" t="n">
        <f aca="false">J50+K50</f>
        <v>0</v>
      </c>
    </row>
    <row r="51" customFormat="false" ht="15.75" hidden="false" customHeight="true" outlineLevel="0" collapsed="false">
      <c r="A51" s="19" t="n">
        <v>42</v>
      </c>
      <c r="B51" s="20" t="s">
        <v>111</v>
      </c>
      <c r="C51" s="21" t="s">
        <v>112</v>
      </c>
      <c r="D51" s="25" t="n">
        <f aca="false">IFERROR(VALUE(SUBSTITUTE(INDEX('Paste BPG'!$A:$Z,MATCH($B51,'Paste BPG'!$C:$C,0),MATCH("BP UP/TUP",'Paste BPG'!$3:$3,0)),".","")),0)</f>
        <v>0</v>
      </c>
      <c r="E51" s="23" t="n">
        <f aca="false">IFERROR(VALUE(SUBSTITUTE(INDEX('Paste BPG'!$A:$Z,MATCH($B51,'Paste BPG'!$C:$C,0),MATCH("BP LS BENDAHARA",'Paste BPG'!$3:$3,0)),".","")),0)</f>
        <v>0</v>
      </c>
      <c r="F51" s="23" t="n">
        <f aca="false">IFERROR(VALUE(SUBSTITUTE(INDEX('Paste BPG'!$A:$Z,MATCH($B51,'Paste BPG'!$C:$C,0),MATCH("BP PAJAK",'Paste BPG'!$3:$3,0)),".","")),0)</f>
        <v>0</v>
      </c>
      <c r="G51" s="23" t="n">
        <f aca="false">IFERROR(VALUE(SUBSTITUTE(INDEX('Paste BPG'!$A:$Z,MATCH($B51,'Paste BPG'!$C:$C,0),MATCH("BP HIBAH",'Paste BPG'!$3:$3,0)),".","")),0)</f>
        <v>0</v>
      </c>
      <c r="H51" s="23" t="n">
        <f aca="false">IFERROR(VALUE(SUBSTITUTE(INDEX('Paste BPG'!$A:$Z,MATCH($B51,'Paste BPG'!$C:$C,0),MATCH("BP LAIN-LAIN",'Paste BPG'!$3:$3,0)),".","")),0)</f>
        <v>0</v>
      </c>
      <c r="I51" s="24" t="n">
        <f aca="false">D51+E51+F51+G51+H51</f>
        <v>0</v>
      </c>
      <c r="J51" s="23" t="n">
        <f aca="false">D51</f>
        <v>0</v>
      </c>
      <c r="K51" s="23" t="n">
        <f aca="false">IFERROR(VALUE(SUBSTITUTE(INDEX('Paste BPG'!$A:$Z,MATCH($B51,'Paste BPG'!$C:$C,0),MATCH("KUITANSI",'Paste BPG'!$3:$3,0)),".","")),0)</f>
        <v>0</v>
      </c>
      <c r="L51" s="24" t="n">
        <f aca="false">J51+K51</f>
        <v>0</v>
      </c>
    </row>
    <row r="52" customFormat="false" ht="15.75" hidden="false" customHeight="true" outlineLevel="0" collapsed="false">
      <c r="A52" s="19" t="n">
        <v>43</v>
      </c>
      <c r="B52" s="20" t="s">
        <v>113</v>
      </c>
      <c r="C52" s="21" t="s">
        <v>114</v>
      </c>
      <c r="D52" s="25" t="n">
        <f aca="false">IFERROR(VALUE(SUBSTITUTE(INDEX('Paste BPG'!$A:$Z,MATCH($B52,'Paste BPG'!$C:$C,0),MATCH("BP UP/TUP",'Paste BPG'!$3:$3,0)),".","")),0)</f>
        <v>0</v>
      </c>
      <c r="E52" s="23" t="n">
        <f aca="false">IFERROR(VALUE(SUBSTITUTE(INDEX('Paste BPG'!$A:$Z,MATCH($B52,'Paste BPG'!$C:$C,0),MATCH("BP LS BENDAHARA",'Paste BPG'!$3:$3,0)),".","")),0)</f>
        <v>0</v>
      </c>
      <c r="F52" s="23" t="n">
        <f aca="false">IFERROR(VALUE(SUBSTITUTE(INDEX('Paste BPG'!$A:$Z,MATCH($B52,'Paste BPG'!$C:$C,0),MATCH("BP PAJAK",'Paste BPG'!$3:$3,0)),".","")),0)</f>
        <v>0</v>
      </c>
      <c r="G52" s="23" t="n">
        <f aca="false">IFERROR(VALUE(SUBSTITUTE(INDEX('Paste BPG'!$A:$Z,MATCH($B52,'Paste BPG'!$C:$C,0),MATCH("BP HIBAH",'Paste BPG'!$3:$3,0)),".","")),0)</f>
        <v>0</v>
      </c>
      <c r="H52" s="23" t="n">
        <f aca="false">IFERROR(VALUE(SUBSTITUTE(INDEX('Paste BPG'!$A:$Z,MATCH($B52,'Paste BPG'!$C:$C,0),MATCH("BP LAIN-LAIN",'Paste BPG'!$3:$3,0)),".","")),0)</f>
        <v>0</v>
      </c>
      <c r="I52" s="24" t="n">
        <f aca="false">D52+E52+F52+G52+H52</f>
        <v>0</v>
      </c>
      <c r="J52" s="23" t="n">
        <f aca="false">D52</f>
        <v>0</v>
      </c>
      <c r="K52" s="23" t="n">
        <f aca="false">IFERROR(VALUE(SUBSTITUTE(INDEX('Paste BPG'!$A:$Z,MATCH($B52,'Paste BPG'!$C:$C,0),MATCH("KUITANSI",'Paste BPG'!$3:$3,0)),".","")),0)</f>
        <v>0</v>
      </c>
      <c r="L52" s="24" t="n">
        <f aca="false">J52+K52</f>
        <v>0</v>
      </c>
    </row>
    <row r="53" customFormat="false" ht="15.75" hidden="false" customHeight="true" outlineLevel="0" collapsed="false">
      <c r="A53" s="19" t="n">
        <v>44</v>
      </c>
      <c r="B53" s="20" t="s">
        <v>115</v>
      </c>
      <c r="C53" s="21" t="s">
        <v>116</v>
      </c>
      <c r="D53" s="25" t="n">
        <f aca="false">IFERROR(VALUE(SUBSTITUTE(INDEX('Paste BPG'!$A:$Z,MATCH($B53,'Paste BPG'!$C:$C,0),MATCH("BP UP/TUP",'Paste BPG'!$3:$3,0)),".","")),0)</f>
        <v>0</v>
      </c>
      <c r="E53" s="23" t="n">
        <f aca="false">IFERROR(VALUE(SUBSTITUTE(INDEX('Paste BPG'!$A:$Z,MATCH($B53,'Paste BPG'!$C:$C,0),MATCH("BP LS BENDAHARA",'Paste BPG'!$3:$3,0)),".","")),0)</f>
        <v>0</v>
      </c>
      <c r="F53" s="23" t="n">
        <f aca="false">IFERROR(VALUE(SUBSTITUTE(INDEX('Paste BPG'!$A:$Z,MATCH($B53,'Paste BPG'!$C:$C,0),MATCH("BP PAJAK",'Paste BPG'!$3:$3,0)),".","")),0)</f>
        <v>0</v>
      </c>
      <c r="G53" s="23" t="n">
        <f aca="false">IFERROR(VALUE(SUBSTITUTE(INDEX('Paste BPG'!$A:$Z,MATCH($B53,'Paste BPG'!$C:$C,0),MATCH("BP HIBAH",'Paste BPG'!$3:$3,0)),".","")),0)</f>
        <v>0</v>
      </c>
      <c r="H53" s="23" t="n">
        <f aca="false">IFERROR(VALUE(SUBSTITUTE(INDEX('Paste BPG'!$A:$Z,MATCH($B53,'Paste BPG'!$C:$C,0),MATCH("BP LAIN-LAIN",'Paste BPG'!$3:$3,0)),".","")),0)</f>
        <v>0</v>
      </c>
      <c r="I53" s="24" t="n">
        <f aca="false">D53+E53+F53+G53+H53</f>
        <v>0</v>
      </c>
      <c r="J53" s="23" t="n">
        <f aca="false">D53</f>
        <v>0</v>
      </c>
      <c r="K53" s="23" t="n">
        <f aca="false">IFERROR(VALUE(SUBSTITUTE(INDEX('Paste BPG'!$A:$Z,MATCH($B53,'Paste BPG'!$C:$C,0),MATCH("KUITANSI",'Paste BPG'!$3:$3,0)),".","")),0)</f>
        <v>0</v>
      </c>
      <c r="L53" s="24" t="n">
        <f aca="false">J53+K53</f>
        <v>0</v>
      </c>
    </row>
    <row r="54" customFormat="false" ht="15.75" hidden="false" customHeight="true" outlineLevel="0" collapsed="false">
      <c r="A54" s="19" t="n">
        <v>45</v>
      </c>
      <c r="B54" s="20" t="s">
        <v>117</v>
      </c>
      <c r="C54" s="21" t="s">
        <v>118</v>
      </c>
      <c r="D54" s="25" t="n">
        <f aca="false">IFERROR(VALUE(SUBSTITUTE(INDEX('Paste BPG'!$A:$Z,MATCH($B54,'Paste BPG'!$C:$C,0),MATCH("BP UP/TUP",'Paste BPG'!$3:$3,0)),".","")),0)</f>
        <v>0</v>
      </c>
      <c r="E54" s="23" t="n">
        <f aca="false">IFERROR(VALUE(SUBSTITUTE(INDEX('Paste BPG'!$A:$Z,MATCH($B54,'Paste BPG'!$C:$C,0),MATCH("BP LS BENDAHARA",'Paste BPG'!$3:$3,0)),".","")),0)</f>
        <v>0</v>
      </c>
      <c r="F54" s="23" t="n">
        <f aca="false">IFERROR(VALUE(SUBSTITUTE(INDEX('Paste BPG'!$A:$Z,MATCH($B54,'Paste BPG'!$C:$C,0),MATCH("BP PAJAK",'Paste BPG'!$3:$3,0)),".","")),0)</f>
        <v>0</v>
      </c>
      <c r="G54" s="23" t="n">
        <f aca="false">IFERROR(VALUE(SUBSTITUTE(INDEX('Paste BPG'!$A:$Z,MATCH($B54,'Paste BPG'!$C:$C,0),MATCH("BP HIBAH",'Paste BPG'!$3:$3,0)),".","")),0)</f>
        <v>0</v>
      </c>
      <c r="H54" s="23" t="n">
        <f aca="false">IFERROR(VALUE(SUBSTITUTE(INDEX('Paste BPG'!$A:$Z,MATCH($B54,'Paste BPG'!$C:$C,0),MATCH("BP LAIN-LAIN",'Paste BPG'!$3:$3,0)),".","")),0)</f>
        <v>0</v>
      </c>
      <c r="I54" s="24" t="n">
        <f aca="false">D54+E54+F54+G54+H54</f>
        <v>0</v>
      </c>
      <c r="J54" s="23" t="n">
        <f aca="false">D54</f>
        <v>0</v>
      </c>
      <c r="K54" s="23" t="n">
        <f aca="false">IFERROR(VALUE(SUBSTITUTE(INDEX('Paste BPG'!$A:$Z,MATCH($B54,'Paste BPG'!$C:$C,0),MATCH("KUITANSI",'Paste BPG'!$3:$3,0)),".","")),0)</f>
        <v>0</v>
      </c>
      <c r="L54" s="24" t="n">
        <f aca="false">J54+K54</f>
        <v>0</v>
      </c>
    </row>
    <row r="55" customFormat="false" ht="15.75" hidden="false" customHeight="true" outlineLevel="0" collapsed="false">
      <c r="A55" s="19" t="n">
        <v>46</v>
      </c>
      <c r="B55" s="20" t="s">
        <v>119</v>
      </c>
      <c r="C55" s="21" t="s">
        <v>120</v>
      </c>
      <c r="D55" s="25" t="n">
        <f aca="false">IFERROR(VALUE(SUBSTITUTE(INDEX('Paste BPG'!$A:$Z,MATCH($B55,'Paste BPG'!$C:$C,0),MATCH("BP UP/TUP",'Paste BPG'!$3:$3,0)),".","")),0)</f>
        <v>0</v>
      </c>
      <c r="E55" s="23" t="n">
        <f aca="false">IFERROR(VALUE(SUBSTITUTE(INDEX('Paste BPG'!$A:$Z,MATCH($B55,'Paste BPG'!$C:$C,0),MATCH("BP LS BENDAHARA",'Paste BPG'!$3:$3,0)),".","")),0)</f>
        <v>0</v>
      </c>
      <c r="F55" s="23" t="n">
        <f aca="false">IFERROR(VALUE(SUBSTITUTE(INDEX('Paste BPG'!$A:$Z,MATCH($B55,'Paste BPG'!$C:$C,0),MATCH("BP PAJAK",'Paste BPG'!$3:$3,0)),".","")),0)</f>
        <v>0</v>
      </c>
      <c r="G55" s="23" t="n">
        <f aca="false">IFERROR(VALUE(SUBSTITUTE(INDEX('Paste BPG'!$A:$Z,MATCH($B55,'Paste BPG'!$C:$C,0),MATCH("BP HIBAH",'Paste BPG'!$3:$3,0)),".","")),0)</f>
        <v>0</v>
      </c>
      <c r="H55" s="23" t="n">
        <f aca="false">IFERROR(VALUE(SUBSTITUTE(INDEX('Paste BPG'!$A:$Z,MATCH($B55,'Paste BPG'!$C:$C,0),MATCH("BP LAIN-LAIN",'Paste BPG'!$3:$3,0)),".","")),0)</f>
        <v>0</v>
      </c>
      <c r="I55" s="24" t="n">
        <f aca="false">D55+E55+F55+G55+H55</f>
        <v>0</v>
      </c>
      <c r="J55" s="23" t="n">
        <f aca="false">D55</f>
        <v>0</v>
      </c>
      <c r="K55" s="23" t="n">
        <f aca="false">IFERROR(VALUE(SUBSTITUTE(INDEX('Paste BPG'!$A:$Z,MATCH($B55,'Paste BPG'!$C:$C,0),MATCH("KUITANSI",'Paste BPG'!$3:$3,0)),".","")),0)</f>
        <v>0</v>
      </c>
      <c r="L55" s="24" t="n">
        <f aca="false">J55+K55</f>
        <v>0</v>
      </c>
    </row>
    <row r="56" customFormat="false" ht="15.75" hidden="false" customHeight="true" outlineLevel="0" collapsed="false">
      <c r="A56" s="19" t="n">
        <v>47</v>
      </c>
      <c r="B56" s="20" t="s">
        <v>121</v>
      </c>
      <c r="C56" s="21" t="s">
        <v>122</v>
      </c>
      <c r="D56" s="25" t="n">
        <f aca="false">IFERROR(VALUE(SUBSTITUTE(INDEX('Paste BPG'!$A:$Z,MATCH($B56,'Paste BPG'!$C:$C,0),MATCH("BP UP/TUP",'Paste BPG'!$3:$3,0)),".","")),0)</f>
        <v>0</v>
      </c>
      <c r="E56" s="23" t="n">
        <f aca="false">IFERROR(VALUE(SUBSTITUTE(INDEX('Paste BPG'!$A:$Z,MATCH($B56,'Paste BPG'!$C:$C,0),MATCH("BP LS BENDAHARA",'Paste BPG'!$3:$3,0)),".","")),0)</f>
        <v>0</v>
      </c>
      <c r="F56" s="23" t="n">
        <f aca="false">IFERROR(VALUE(SUBSTITUTE(INDEX('Paste BPG'!$A:$Z,MATCH($B56,'Paste BPG'!$C:$C,0),MATCH("BP PAJAK",'Paste BPG'!$3:$3,0)),".","")),0)</f>
        <v>0</v>
      </c>
      <c r="G56" s="23" t="n">
        <f aca="false">IFERROR(VALUE(SUBSTITUTE(INDEX('Paste BPG'!$A:$Z,MATCH($B56,'Paste BPG'!$C:$C,0),MATCH("BP HIBAH",'Paste BPG'!$3:$3,0)),".","")),0)</f>
        <v>0</v>
      </c>
      <c r="H56" s="23" t="n">
        <f aca="false">IFERROR(VALUE(SUBSTITUTE(INDEX('Paste BPG'!$A:$Z,MATCH($B56,'Paste BPG'!$C:$C,0),MATCH("BP LAIN-LAIN",'Paste BPG'!$3:$3,0)),".","")),0)</f>
        <v>0</v>
      </c>
      <c r="I56" s="24" t="n">
        <f aca="false">D56+E56+F56+G56+H56</f>
        <v>0</v>
      </c>
      <c r="J56" s="23" t="n">
        <f aca="false">D56</f>
        <v>0</v>
      </c>
      <c r="K56" s="23" t="n">
        <f aca="false">IFERROR(VALUE(SUBSTITUTE(INDEX('Paste BPG'!$A:$Z,MATCH($B56,'Paste BPG'!$C:$C,0),MATCH("KUITANSI",'Paste BPG'!$3:$3,0)),".","")),0)</f>
        <v>0</v>
      </c>
      <c r="L56" s="24" t="n">
        <f aca="false">J56+K56</f>
        <v>0</v>
      </c>
    </row>
    <row r="57" customFormat="false" ht="15.75" hidden="false" customHeight="true" outlineLevel="0" collapsed="false">
      <c r="A57" s="19" t="n">
        <v>48</v>
      </c>
      <c r="B57" s="20" t="s">
        <v>123</v>
      </c>
      <c r="C57" s="21" t="s">
        <v>124</v>
      </c>
      <c r="D57" s="25" t="n">
        <f aca="false">IFERROR(VALUE(SUBSTITUTE(INDEX('Paste BPG'!$A:$Z,MATCH($B57,'Paste BPG'!$C:$C,0),MATCH("BP UP/TUP",'Paste BPG'!$3:$3,0)),".","")),0)</f>
        <v>0</v>
      </c>
      <c r="E57" s="23" t="n">
        <f aca="false">IFERROR(VALUE(SUBSTITUTE(INDEX('Paste BPG'!$A:$Z,MATCH($B57,'Paste BPG'!$C:$C,0),MATCH("BP LS BENDAHARA",'Paste BPG'!$3:$3,0)),".","")),0)</f>
        <v>0</v>
      </c>
      <c r="F57" s="23" t="n">
        <f aca="false">IFERROR(VALUE(SUBSTITUTE(INDEX('Paste BPG'!$A:$Z,MATCH($B57,'Paste BPG'!$C:$C,0),MATCH("BP PAJAK",'Paste BPG'!$3:$3,0)),".","")),0)</f>
        <v>0</v>
      </c>
      <c r="G57" s="23" t="n">
        <f aca="false">IFERROR(VALUE(SUBSTITUTE(INDEX('Paste BPG'!$A:$Z,MATCH($B57,'Paste BPG'!$C:$C,0),MATCH("BP HIBAH",'Paste BPG'!$3:$3,0)),".","")),0)</f>
        <v>0</v>
      </c>
      <c r="H57" s="23" t="n">
        <f aca="false">IFERROR(VALUE(SUBSTITUTE(INDEX('Paste BPG'!$A:$Z,MATCH($B57,'Paste BPG'!$C:$C,0),MATCH("BP LAIN-LAIN",'Paste BPG'!$3:$3,0)),".","")),0)</f>
        <v>0</v>
      </c>
      <c r="I57" s="24" t="n">
        <f aca="false">D57+E57+F57+G57+H57</f>
        <v>0</v>
      </c>
      <c r="J57" s="23" t="n">
        <f aca="false">D57</f>
        <v>0</v>
      </c>
      <c r="K57" s="23" t="n">
        <f aca="false">IFERROR(VALUE(SUBSTITUTE(INDEX('Paste BPG'!$A:$Z,MATCH($B57,'Paste BPG'!$C:$C,0),MATCH("KUITANSI",'Paste BPG'!$3:$3,0)),".","")),0)</f>
        <v>0</v>
      </c>
      <c r="L57" s="24" t="n">
        <f aca="false">J57+K57</f>
        <v>0</v>
      </c>
    </row>
    <row r="58" customFormat="false" ht="27.75" hidden="false" customHeight="true" outlineLevel="0" collapsed="false">
      <c r="A58" s="19" t="n">
        <v>49</v>
      </c>
      <c r="B58" s="20" t="s">
        <v>125</v>
      </c>
      <c r="C58" s="26" t="s">
        <v>126</v>
      </c>
      <c r="D58" s="25" t="n">
        <f aca="false">IFERROR(VALUE(SUBSTITUTE(INDEX('Paste BPG'!$A:$Z,MATCH($B58,'Paste BPG'!$C:$C,0),MATCH("BP UP/TUP",'Paste BPG'!$3:$3,0)),".","")),0)</f>
        <v>0</v>
      </c>
      <c r="E58" s="23" t="n">
        <f aca="false">IFERROR(VALUE(SUBSTITUTE(INDEX('Paste BPG'!$A:$Z,MATCH($B58,'Paste BPG'!$C:$C,0),MATCH("BP LS BENDAHARA",'Paste BPG'!$3:$3,0)),".","")),0)</f>
        <v>0</v>
      </c>
      <c r="F58" s="23" t="n">
        <f aca="false">IFERROR(VALUE(SUBSTITUTE(INDEX('Paste BPG'!$A:$Z,MATCH($B58,'Paste BPG'!$C:$C,0),MATCH("BP PAJAK",'Paste BPG'!$3:$3,0)),".","")),0)</f>
        <v>0</v>
      </c>
      <c r="G58" s="23" t="n">
        <f aca="false">IFERROR(VALUE(SUBSTITUTE(INDEX('Paste BPG'!$A:$Z,MATCH($B58,'Paste BPG'!$C:$C,0),MATCH("BP HIBAH",'Paste BPG'!$3:$3,0)),".","")),0)</f>
        <v>0</v>
      </c>
      <c r="H58" s="23" t="n">
        <f aca="false">IFERROR(VALUE(SUBSTITUTE(INDEX('Paste BPG'!$A:$Z,MATCH($B58,'Paste BPG'!$C:$C,0),MATCH("BP LAIN-LAIN",'Paste BPG'!$3:$3,0)),".","")),0)</f>
        <v>0</v>
      </c>
      <c r="I58" s="24" t="n">
        <f aca="false">D58+E58+F58+G58+H58</f>
        <v>0</v>
      </c>
      <c r="J58" s="23" t="n">
        <f aca="false">D58</f>
        <v>0</v>
      </c>
      <c r="K58" s="23" t="n">
        <f aca="false">IFERROR(VALUE(SUBSTITUTE(INDEX('Paste BPG'!$A:$Z,MATCH($B58,'Paste BPG'!$C:$C,0),MATCH("KUITANSI",'Paste BPG'!$3:$3,0)),".","")),0)</f>
        <v>0</v>
      </c>
      <c r="L58" s="24"/>
    </row>
    <row r="59" customFormat="false" ht="15.75" hidden="false" customHeight="true" outlineLevel="0" collapsed="false">
      <c r="A59" s="19" t="n">
        <v>50</v>
      </c>
      <c r="B59" s="20" t="s">
        <v>127</v>
      </c>
      <c r="C59" s="21" t="s">
        <v>128</v>
      </c>
      <c r="D59" s="25" t="n">
        <f aca="false">IFERROR(VALUE(SUBSTITUTE(INDEX('Paste BPG'!$A:$Z,MATCH($B59,'Paste BPG'!$C:$C,0),MATCH("BP UP/TUP",'Paste BPG'!$3:$3,0)),".","")),0)</f>
        <v>0</v>
      </c>
      <c r="E59" s="23" t="n">
        <f aca="false">IFERROR(VALUE(SUBSTITUTE(INDEX('Paste BPG'!$A:$Z,MATCH($B59,'Paste BPG'!$C:$C,0),MATCH("BP LS BENDAHARA",'Paste BPG'!$3:$3,0)),".","")),0)</f>
        <v>0</v>
      </c>
      <c r="F59" s="23" t="n">
        <f aca="false">IFERROR(VALUE(SUBSTITUTE(INDEX('Paste BPG'!$A:$Z,MATCH($B59,'Paste BPG'!$C:$C,0),MATCH("BP PAJAK",'Paste BPG'!$3:$3,0)),".","")),0)</f>
        <v>0</v>
      </c>
      <c r="G59" s="23" t="n">
        <f aca="false">IFERROR(VALUE(SUBSTITUTE(INDEX('Paste BPG'!$A:$Z,MATCH($B59,'Paste BPG'!$C:$C,0),MATCH("BP HIBAH",'Paste BPG'!$3:$3,0)),".","")),0)</f>
        <v>0</v>
      </c>
      <c r="H59" s="23" t="n">
        <f aca="false">IFERROR(VALUE(SUBSTITUTE(INDEX('Paste BPG'!$A:$Z,MATCH($B59,'Paste BPG'!$C:$C,0),MATCH("BP LAIN-LAIN",'Paste BPG'!$3:$3,0)),".","")),0)</f>
        <v>0</v>
      </c>
      <c r="I59" s="24" t="n">
        <f aca="false">D59+E59+F59+G59+H59</f>
        <v>0</v>
      </c>
      <c r="J59" s="23" t="n">
        <f aca="false">D59</f>
        <v>0</v>
      </c>
      <c r="K59" s="23" t="n">
        <f aca="false">IFERROR(VALUE(SUBSTITUTE(INDEX('Paste BPG'!$A:$Z,MATCH($B59,'Paste BPG'!$C:$C,0),MATCH("KUITANSI",'Paste BPG'!$3:$3,0)),".","")),0)</f>
        <v>0</v>
      </c>
      <c r="L59" s="24" t="n">
        <f aca="false">J59+K59</f>
        <v>0</v>
      </c>
    </row>
    <row r="60" customFormat="false" ht="15.75" hidden="false" customHeight="true" outlineLevel="0" collapsed="false">
      <c r="A60" s="19" t="n">
        <v>51</v>
      </c>
      <c r="B60" s="20" t="s">
        <v>129</v>
      </c>
      <c r="C60" s="21" t="s">
        <v>130</v>
      </c>
      <c r="D60" s="25" t="n">
        <f aca="false">IFERROR(VALUE(SUBSTITUTE(INDEX('Paste BPG'!$A:$Z,MATCH($B60,'Paste BPG'!$C:$C,0),MATCH("BP UP/TUP",'Paste BPG'!$3:$3,0)),".","")),0)</f>
        <v>0</v>
      </c>
      <c r="E60" s="23" t="n">
        <f aca="false">IFERROR(VALUE(SUBSTITUTE(INDEX('Paste BPG'!$A:$Z,MATCH($B60,'Paste BPG'!$C:$C,0),MATCH("BP LS BENDAHARA",'Paste BPG'!$3:$3,0)),".","")),0)</f>
        <v>0</v>
      </c>
      <c r="F60" s="23" t="n">
        <f aca="false">IFERROR(VALUE(SUBSTITUTE(INDEX('Paste BPG'!$A:$Z,MATCH($B60,'Paste BPG'!$C:$C,0),MATCH("BP PAJAK",'Paste BPG'!$3:$3,0)),".","")),0)</f>
        <v>0</v>
      </c>
      <c r="G60" s="23" t="n">
        <f aca="false">IFERROR(VALUE(SUBSTITUTE(INDEX('Paste BPG'!$A:$Z,MATCH($B60,'Paste BPG'!$C:$C,0),MATCH("BP HIBAH",'Paste BPG'!$3:$3,0)),".","")),0)</f>
        <v>0</v>
      </c>
      <c r="H60" s="23" t="n">
        <f aca="false">IFERROR(VALUE(SUBSTITUTE(INDEX('Paste BPG'!$A:$Z,MATCH($B60,'Paste BPG'!$C:$C,0),MATCH("BP LAIN-LAIN",'Paste BPG'!$3:$3,0)),".","")),0)</f>
        <v>0</v>
      </c>
      <c r="I60" s="24" t="n">
        <f aca="false">D60+E60+F60+G60+H60</f>
        <v>0</v>
      </c>
      <c r="J60" s="23" t="n">
        <f aca="false">D60</f>
        <v>0</v>
      </c>
      <c r="K60" s="23" t="n">
        <f aca="false">IFERROR(VALUE(SUBSTITUTE(INDEX('Paste BPG'!$A:$Z,MATCH($B60,'Paste BPG'!$C:$C,0),MATCH("KUITANSI",'Paste BPG'!$3:$3,0)),".","")),0)</f>
        <v>0</v>
      </c>
      <c r="L60" s="24" t="n">
        <f aca="false">J60+K60</f>
        <v>0</v>
      </c>
    </row>
    <row r="61" customFormat="false" ht="15.75" hidden="false" customHeight="true" outlineLevel="0" collapsed="false">
      <c r="A61" s="19" t="n">
        <v>52</v>
      </c>
      <c r="B61" s="20" t="s">
        <v>131</v>
      </c>
      <c r="C61" s="21" t="s">
        <v>132</v>
      </c>
      <c r="D61" s="25" t="n">
        <f aca="false">IFERROR(VALUE(SUBSTITUTE(INDEX('Paste BPG'!$A:$Z,MATCH($B61,'Paste BPG'!$C:$C,0),MATCH("BP UP/TUP",'Paste BPG'!$3:$3,0)),".","")),0)</f>
        <v>0</v>
      </c>
      <c r="E61" s="23" t="n">
        <f aca="false">IFERROR(VALUE(SUBSTITUTE(INDEX('Paste BPG'!$A:$Z,MATCH($B61,'Paste BPG'!$C:$C,0),MATCH("BP LS BENDAHARA",'Paste BPG'!$3:$3,0)),".","")),0)</f>
        <v>0</v>
      </c>
      <c r="F61" s="23" t="n">
        <f aca="false">IFERROR(VALUE(SUBSTITUTE(INDEX('Paste BPG'!$A:$Z,MATCH($B61,'Paste BPG'!$C:$C,0),MATCH("BP PAJAK",'Paste BPG'!$3:$3,0)),".","")),0)</f>
        <v>0</v>
      </c>
      <c r="G61" s="23" t="n">
        <f aca="false">IFERROR(VALUE(SUBSTITUTE(INDEX('Paste BPG'!$A:$Z,MATCH($B61,'Paste BPG'!$C:$C,0),MATCH("BP HIBAH",'Paste BPG'!$3:$3,0)),".","")),0)</f>
        <v>0</v>
      </c>
      <c r="H61" s="23" t="n">
        <f aca="false">IFERROR(VALUE(SUBSTITUTE(INDEX('Paste BPG'!$A:$Z,MATCH($B61,'Paste BPG'!$C:$C,0),MATCH("BP LAIN-LAIN",'Paste BPG'!$3:$3,0)),".","")),0)</f>
        <v>0</v>
      </c>
      <c r="I61" s="24" t="n">
        <f aca="false">D61+E61+F61+G61+H61</f>
        <v>0</v>
      </c>
      <c r="J61" s="23" t="n">
        <f aca="false">D61</f>
        <v>0</v>
      </c>
      <c r="K61" s="23" t="n">
        <f aca="false">IFERROR(VALUE(SUBSTITUTE(INDEX('Paste BPG'!$A:$Z,MATCH($B61,'Paste BPG'!$C:$C,0),MATCH("KUITANSI",'Paste BPG'!$3:$3,0)),".","")),0)</f>
        <v>0</v>
      </c>
      <c r="L61" s="24" t="n">
        <f aca="false">J61+K61</f>
        <v>0</v>
      </c>
    </row>
    <row r="62" customFormat="false" ht="15.75" hidden="false" customHeight="true" outlineLevel="0" collapsed="false">
      <c r="A62" s="19" t="n">
        <v>53</v>
      </c>
      <c r="B62" s="20" t="s">
        <v>133</v>
      </c>
      <c r="C62" s="21" t="s">
        <v>134</v>
      </c>
      <c r="D62" s="25" t="n">
        <f aca="false">IFERROR(VALUE(SUBSTITUTE(INDEX('Paste BPG'!$A:$Z,MATCH($B62,'Paste BPG'!$C:$C,0),MATCH("BP UP/TUP",'Paste BPG'!$3:$3,0)),".","")),0)</f>
        <v>0</v>
      </c>
      <c r="E62" s="23" t="n">
        <f aca="false">IFERROR(VALUE(SUBSTITUTE(INDEX('Paste BPG'!$A:$Z,MATCH($B62,'Paste BPG'!$C:$C,0),MATCH("BP LS BENDAHARA",'Paste BPG'!$3:$3,0)),".","")),0)</f>
        <v>0</v>
      </c>
      <c r="F62" s="23" t="n">
        <f aca="false">IFERROR(VALUE(SUBSTITUTE(INDEX('Paste BPG'!$A:$Z,MATCH($B62,'Paste BPG'!$C:$C,0),MATCH("BP PAJAK",'Paste BPG'!$3:$3,0)),".","")),0)</f>
        <v>0</v>
      </c>
      <c r="G62" s="23" t="n">
        <f aca="false">IFERROR(VALUE(SUBSTITUTE(INDEX('Paste BPG'!$A:$Z,MATCH($B62,'Paste BPG'!$C:$C,0),MATCH("BP HIBAH",'Paste BPG'!$3:$3,0)),".","")),0)</f>
        <v>0</v>
      </c>
      <c r="H62" s="23" t="n">
        <f aca="false">IFERROR(VALUE(SUBSTITUTE(INDEX('Paste BPG'!$A:$Z,MATCH($B62,'Paste BPG'!$C:$C,0),MATCH("BP LAIN-LAIN",'Paste BPG'!$3:$3,0)),".","")),0)</f>
        <v>0</v>
      </c>
      <c r="I62" s="24" t="n">
        <f aca="false">D62+E62+F62+G62+H62</f>
        <v>0</v>
      </c>
      <c r="J62" s="23" t="n">
        <f aca="false">D62</f>
        <v>0</v>
      </c>
      <c r="K62" s="23" t="n">
        <f aca="false">IFERROR(VALUE(SUBSTITUTE(INDEX('Paste BPG'!$A:$Z,MATCH($B62,'Paste BPG'!$C:$C,0),MATCH("KUITANSI",'Paste BPG'!$3:$3,0)),".","")),0)</f>
        <v>0</v>
      </c>
      <c r="L62" s="24" t="n">
        <f aca="false">J62+K62</f>
        <v>0</v>
      </c>
    </row>
    <row r="63" customFormat="false" ht="15.75" hidden="false" customHeight="true" outlineLevel="0" collapsed="false">
      <c r="A63" s="19" t="n">
        <v>54</v>
      </c>
      <c r="B63" s="20" t="s">
        <v>135</v>
      </c>
      <c r="C63" s="21" t="s">
        <v>136</v>
      </c>
      <c r="D63" s="25" t="n">
        <f aca="false">IFERROR(VALUE(SUBSTITUTE(INDEX('Paste BPG'!$A:$Z,MATCH($B63,'Paste BPG'!$C:$C,0),MATCH("BP UP/TUP",'Paste BPG'!$3:$3,0)),".","")),0)</f>
        <v>0</v>
      </c>
      <c r="E63" s="23" t="n">
        <f aca="false">IFERROR(VALUE(SUBSTITUTE(INDEX('Paste BPG'!$A:$Z,MATCH($B63,'Paste BPG'!$C:$C,0),MATCH("BP LS BENDAHARA",'Paste BPG'!$3:$3,0)),".","")),0)</f>
        <v>0</v>
      </c>
      <c r="F63" s="23" t="n">
        <f aca="false">IFERROR(VALUE(SUBSTITUTE(INDEX('Paste BPG'!$A:$Z,MATCH($B63,'Paste BPG'!$C:$C,0),MATCH("BP PAJAK",'Paste BPG'!$3:$3,0)),".","")),0)</f>
        <v>0</v>
      </c>
      <c r="G63" s="23" t="n">
        <f aca="false">IFERROR(VALUE(SUBSTITUTE(INDEX('Paste BPG'!$A:$Z,MATCH($B63,'Paste BPG'!$C:$C,0),MATCH("BP HIBAH",'Paste BPG'!$3:$3,0)),".","")),0)</f>
        <v>0</v>
      </c>
      <c r="H63" s="23" t="n">
        <f aca="false">IFERROR(VALUE(SUBSTITUTE(INDEX('Paste BPG'!$A:$Z,MATCH($B63,'Paste BPG'!$C:$C,0),MATCH("BP LAIN-LAIN",'Paste BPG'!$3:$3,0)),".","")),0)</f>
        <v>0</v>
      </c>
      <c r="I63" s="24" t="n">
        <f aca="false">D63+E63+F63+G63+H63</f>
        <v>0</v>
      </c>
      <c r="J63" s="23" t="n">
        <f aca="false">D63</f>
        <v>0</v>
      </c>
      <c r="K63" s="23" t="n">
        <f aca="false">IFERROR(VALUE(SUBSTITUTE(INDEX('Paste BPG'!$A:$Z,MATCH($B63,'Paste BPG'!$C:$C,0),MATCH("KUITANSI",'Paste BPG'!$3:$3,0)),".","")),0)</f>
        <v>0</v>
      </c>
      <c r="L63" s="24" t="n">
        <f aca="false">J63+K63</f>
        <v>0</v>
      </c>
    </row>
    <row r="64" customFormat="false" ht="15.75" hidden="false" customHeight="true" outlineLevel="0" collapsed="false">
      <c r="A64" s="19" t="n">
        <v>55</v>
      </c>
      <c r="B64" s="20" t="s">
        <v>137</v>
      </c>
      <c r="C64" s="21" t="s">
        <v>138</v>
      </c>
      <c r="D64" s="25" t="n">
        <f aca="false">IFERROR(VALUE(SUBSTITUTE(INDEX('Paste BPG'!$A:$Z,MATCH($B64,'Paste BPG'!$C:$C,0),MATCH("BP UP/TUP",'Paste BPG'!$3:$3,0)),".","")),0)</f>
        <v>0</v>
      </c>
      <c r="E64" s="23" t="n">
        <f aca="false">IFERROR(VALUE(SUBSTITUTE(INDEX('Paste BPG'!$A:$Z,MATCH($B64,'Paste BPG'!$C:$C,0),MATCH("BP LS BENDAHARA",'Paste BPG'!$3:$3,0)),".","")),0)</f>
        <v>0</v>
      </c>
      <c r="F64" s="23" t="n">
        <f aca="false">IFERROR(VALUE(SUBSTITUTE(INDEX('Paste BPG'!$A:$Z,MATCH($B64,'Paste BPG'!$C:$C,0),MATCH("BP PAJAK",'Paste BPG'!$3:$3,0)),".","")),0)</f>
        <v>0</v>
      </c>
      <c r="G64" s="23" t="n">
        <f aca="false">IFERROR(VALUE(SUBSTITUTE(INDEX('Paste BPG'!$A:$Z,MATCH($B64,'Paste BPG'!$C:$C,0),MATCH("BP HIBAH",'Paste BPG'!$3:$3,0)),".","")),0)</f>
        <v>0</v>
      </c>
      <c r="H64" s="23" t="n">
        <f aca="false">IFERROR(VALUE(SUBSTITUTE(INDEX('Paste BPG'!$A:$Z,MATCH($B64,'Paste BPG'!$C:$C,0),MATCH("BP LAIN-LAIN",'Paste BPG'!$3:$3,0)),".","")),0)</f>
        <v>0</v>
      </c>
      <c r="I64" s="24" t="n">
        <f aca="false">D64+E64+F64+G64+H64</f>
        <v>0</v>
      </c>
      <c r="J64" s="23" t="n">
        <f aca="false">D64</f>
        <v>0</v>
      </c>
      <c r="K64" s="23" t="n">
        <f aca="false">IFERROR(VALUE(SUBSTITUTE(INDEX('Paste BPG'!$A:$Z,MATCH($B64,'Paste BPG'!$C:$C,0),MATCH("KUITANSI",'Paste BPG'!$3:$3,0)),".","")),0)</f>
        <v>0</v>
      </c>
      <c r="L64" s="24" t="n">
        <f aca="false">J64+K64</f>
        <v>0</v>
      </c>
    </row>
    <row r="65" customFormat="false" ht="15.75" hidden="false" customHeight="true" outlineLevel="0" collapsed="false">
      <c r="A65" s="19" t="n">
        <v>56</v>
      </c>
      <c r="B65" s="20" t="s">
        <v>139</v>
      </c>
      <c r="C65" s="21" t="s">
        <v>140</v>
      </c>
      <c r="D65" s="25" t="n">
        <f aca="false">IFERROR(VALUE(SUBSTITUTE(INDEX('Paste BPG'!$A:$Z,MATCH($B65,'Paste BPG'!$C:$C,0),MATCH("BP UP/TUP",'Paste BPG'!$3:$3,0)),".","")),0)</f>
        <v>0</v>
      </c>
      <c r="E65" s="23" t="n">
        <f aca="false">IFERROR(VALUE(SUBSTITUTE(INDEX('Paste BPG'!$A:$Z,MATCH($B65,'Paste BPG'!$C:$C,0),MATCH("BP LS BENDAHARA",'Paste BPG'!$3:$3,0)),".","")),0)</f>
        <v>0</v>
      </c>
      <c r="F65" s="23" t="n">
        <f aca="false">IFERROR(VALUE(SUBSTITUTE(INDEX('Paste BPG'!$A:$Z,MATCH($B65,'Paste BPG'!$C:$C,0),MATCH("BP PAJAK",'Paste BPG'!$3:$3,0)),".","")),0)</f>
        <v>0</v>
      </c>
      <c r="G65" s="23" t="n">
        <f aca="false">IFERROR(VALUE(SUBSTITUTE(INDEX('Paste BPG'!$A:$Z,MATCH($B65,'Paste BPG'!$C:$C,0),MATCH("BP HIBAH",'Paste BPG'!$3:$3,0)),".","")),0)</f>
        <v>0</v>
      </c>
      <c r="H65" s="23" t="n">
        <f aca="false">IFERROR(VALUE(SUBSTITUTE(INDEX('Paste BPG'!$A:$Z,MATCH($B65,'Paste BPG'!$C:$C,0),MATCH("BP LAIN-LAIN",'Paste BPG'!$3:$3,0)),".","")),0)</f>
        <v>0</v>
      </c>
      <c r="I65" s="24" t="n">
        <f aca="false">D65+E65+F65+G65+H65</f>
        <v>0</v>
      </c>
      <c r="J65" s="23" t="n">
        <f aca="false">D65</f>
        <v>0</v>
      </c>
      <c r="K65" s="23" t="n">
        <f aca="false">IFERROR(VALUE(SUBSTITUTE(INDEX('Paste BPG'!$A:$Z,MATCH($B65,'Paste BPG'!$C:$C,0),MATCH("KUITANSI",'Paste BPG'!$3:$3,0)),".","")),0)</f>
        <v>0</v>
      </c>
      <c r="L65" s="24" t="n">
        <f aca="false">J65+K65</f>
        <v>0</v>
      </c>
    </row>
    <row r="66" customFormat="false" ht="15.75" hidden="false" customHeight="true" outlineLevel="0" collapsed="false">
      <c r="A66" s="19" t="n">
        <v>57</v>
      </c>
      <c r="B66" s="20" t="s">
        <v>141</v>
      </c>
      <c r="C66" s="21" t="s">
        <v>142</v>
      </c>
      <c r="D66" s="25" t="n">
        <f aca="false">IFERROR(VALUE(SUBSTITUTE(INDEX('Paste BPG'!$A:$Z,MATCH($B66,'Paste BPG'!$C:$C,0),MATCH("BP UP/TUP",'Paste BPG'!$3:$3,0)),".","")),0)</f>
        <v>0</v>
      </c>
      <c r="E66" s="23" t="n">
        <f aca="false">IFERROR(VALUE(SUBSTITUTE(INDEX('Paste BPG'!$A:$Z,MATCH($B66,'Paste BPG'!$C:$C,0),MATCH("BP LS BENDAHARA",'Paste BPG'!$3:$3,0)),".","")),0)</f>
        <v>0</v>
      </c>
      <c r="F66" s="23" t="n">
        <f aca="false">IFERROR(VALUE(SUBSTITUTE(INDEX('Paste BPG'!$A:$Z,MATCH($B66,'Paste BPG'!$C:$C,0),MATCH("BP PAJAK",'Paste BPG'!$3:$3,0)),".","")),0)</f>
        <v>0</v>
      </c>
      <c r="G66" s="23" t="n">
        <f aca="false">IFERROR(VALUE(SUBSTITUTE(INDEX('Paste BPG'!$A:$Z,MATCH($B66,'Paste BPG'!$C:$C,0),MATCH("BP HIBAH",'Paste BPG'!$3:$3,0)),".","")),0)</f>
        <v>0</v>
      </c>
      <c r="H66" s="23" t="n">
        <f aca="false">IFERROR(VALUE(SUBSTITUTE(INDEX('Paste BPG'!$A:$Z,MATCH($B66,'Paste BPG'!$C:$C,0),MATCH("BP LAIN-LAIN",'Paste BPG'!$3:$3,0)),".","")),0)</f>
        <v>0</v>
      </c>
      <c r="I66" s="24" t="n">
        <f aca="false">D66+E66+F66+G66+H66</f>
        <v>0</v>
      </c>
      <c r="J66" s="23" t="n">
        <f aca="false">D66</f>
        <v>0</v>
      </c>
      <c r="K66" s="23" t="n">
        <f aca="false">IFERROR(VALUE(SUBSTITUTE(INDEX('Paste BPG'!$A:$Z,MATCH($B66,'Paste BPG'!$C:$C,0),MATCH("KUITANSI",'Paste BPG'!$3:$3,0)),".","")),0)</f>
        <v>0</v>
      </c>
      <c r="L66" s="24" t="n">
        <f aca="false">J66+K66</f>
        <v>0</v>
      </c>
    </row>
    <row r="67" customFormat="false" ht="15.75" hidden="false" customHeight="true" outlineLevel="0" collapsed="false">
      <c r="A67" s="19" t="n">
        <v>58</v>
      </c>
      <c r="B67" s="20" t="s">
        <v>143</v>
      </c>
      <c r="C67" s="21" t="s">
        <v>144</v>
      </c>
      <c r="D67" s="25" t="n">
        <f aca="false">IFERROR(VALUE(SUBSTITUTE(INDEX('Paste BPG'!$A:$Z,MATCH($B67,'Paste BPG'!$C:$C,0),MATCH("BP UP/TUP",'Paste BPG'!$3:$3,0)),".","")),0)</f>
        <v>0</v>
      </c>
      <c r="E67" s="23" t="n">
        <f aca="false">IFERROR(VALUE(SUBSTITUTE(INDEX('Paste BPG'!$A:$Z,MATCH($B67,'Paste BPG'!$C:$C,0),MATCH("BP LS BENDAHARA",'Paste BPG'!$3:$3,0)),".","")),0)</f>
        <v>0</v>
      </c>
      <c r="F67" s="23" t="n">
        <f aca="false">IFERROR(VALUE(SUBSTITUTE(INDEX('Paste BPG'!$A:$Z,MATCH($B67,'Paste BPG'!$C:$C,0),MATCH("BP PAJAK",'Paste BPG'!$3:$3,0)),".","")),0)</f>
        <v>0</v>
      </c>
      <c r="G67" s="23" t="n">
        <f aca="false">IFERROR(VALUE(SUBSTITUTE(INDEX('Paste BPG'!$A:$Z,MATCH($B67,'Paste BPG'!$C:$C,0),MATCH("BP HIBAH",'Paste BPG'!$3:$3,0)),".","")),0)</f>
        <v>0</v>
      </c>
      <c r="H67" s="23" t="n">
        <f aca="false">IFERROR(VALUE(SUBSTITUTE(INDEX('Paste BPG'!$A:$Z,MATCH($B67,'Paste BPG'!$C:$C,0),MATCH("BP LAIN-LAIN",'Paste BPG'!$3:$3,0)),".","")),0)</f>
        <v>0</v>
      </c>
      <c r="I67" s="24" t="n">
        <f aca="false">D67+E67+F67+G67+H67</f>
        <v>0</v>
      </c>
      <c r="J67" s="23" t="n">
        <f aca="false">D67</f>
        <v>0</v>
      </c>
      <c r="K67" s="23" t="n">
        <f aca="false">IFERROR(VALUE(SUBSTITUTE(INDEX('Paste BPG'!$A:$Z,MATCH($B67,'Paste BPG'!$C:$C,0),MATCH("KUITANSI",'Paste BPG'!$3:$3,0)),".","")),0)</f>
        <v>0</v>
      </c>
      <c r="L67" s="24" t="n">
        <f aca="false">J67+K67</f>
        <v>0</v>
      </c>
    </row>
    <row r="68" customFormat="false" ht="15.75" hidden="false" customHeight="true" outlineLevel="0" collapsed="false">
      <c r="A68" s="19" t="n">
        <v>59</v>
      </c>
      <c r="B68" s="20" t="s">
        <v>145</v>
      </c>
      <c r="C68" s="21" t="s">
        <v>146</v>
      </c>
      <c r="D68" s="25" t="n">
        <f aca="false">IFERROR(VALUE(SUBSTITUTE(INDEX('Paste BPG'!$A:$Z,MATCH($B68,'Paste BPG'!$C:$C,0),MATCH("BP UP/TUP",'Paste BPG'!$3:$3,0)),".","")),0)</f>
        <v>0</v>
      </c>
      <c r="E68" s="23" t="n">
        <f aca="false">IFERROR(VALUE(SUBSTITUTE(INDEX('Paste BPG'!$A:$Z,MATCH($B68,'Paste BPG'!$C:$C,0),MATCH("BP LS BENDAHARA",'Paste BPG'!$3:$3,0)),".","")),0)</f>
        <v>0</v>
      </c>
      <c r="F68" s="23" t="n">
        <f aca="false">IFERROR(VALUE(SUBSTITUTE(INDEX('Paste BPG'!$A:$Z,MATCH($B68,'Paste BPG'!$C:$C,0),MATCH("BP PAJAK",'Paste BPG'!$3:$3,0)),".","")),0)</f>
        <v>0</v>
      </c>
      <c r="G68" s="23" t="n">
        <f aca="false">IFERROR(VALUE(SUBSTITUTE(INDEX('Paste BPG'!$A:$Z,MATCH($B68,'Paste BPG'!$C:$C,0),MATCH("BP HIBAH",'Paste BPG'!$3:$3,0)),".","")),0)</f>
        <v>0</v>
      </c>
      <c r="H68" s="23" t="n">
        <f aca="false">IFERROR(VALUE(SUBSTITUTE(INDEX('Paste BPG'!$A:$Z,MATCH($B68,'Paste BPG'!$C:$C,0),MATCH("BP LAIN-LAIN",'Paste BPG'!$3:$3,0)),".","")),0)</f>
        <v>0</v>
      </c>
      <c r="I68" s="24" t="n">
        <f aca="false">D68+E68+F68+G68+H68</f>
        <v>0</v>
      </c>
      <c r="J68" s="23" t="n">
        <f aca="false">D68</f>
        <v>0</v>
      </c>
      <c r="K68" s="23" t="n">
        <f aca="false">IFERROR(VALUE(SUBSTITUTE(INDEX('Paste BPG'!$A:$Z,MATCH($B68,'Paste BPG'!$C:$C,0),MATCH("KUITANSI",'Paste BPG'!$3:$3,0)),".","")),0)</f>
        <v>0</v>
      </c>
      <c r="L68" s="24" t="n">
        <f aca="false">J68+K68</f>
        <v>0</v>
      </c>
    </row>
    <row r="69" customFormat="false" ht="15.75" hidden="false" customHeight="true" outlineLevel="0" collapsed="false">
      <c r="A69" s="19" t="n">
        <v>60</v>
      </c>
      <c r="B69" s="20" t="s">
        <v>147</v>
      </c>
      <c r="C69" s="21" t="s">
        <v>148</v>
      </c>
      <c r="D69" s="25" t="n">
        <f aca="false">IFERROR(VALUE(SUBSTITUTE(INDEX('Paste BPG'!$A:$Z,MATCH($B69,'Paste BPG'!$C:$C,0),MATCH("BP UP/TUP",'Paste BPG'!$3:$3,0)),".","")),0)</f>
        <v>0</v>
      </c>
      <c r="E69" s="23" t="n">
        <f aca="false">IFERROR(VALUE(SUBSTITUTE(INDEX('Paste BPG'!$A:$Z,MATCH($B69,'Paste BPG'!$C:$C,0),MATCH("BP LS BENDAHARA",'Paste BPG'!$3:$3,0)),".","")),0)</f>
        <v>0</v>
      </c>
      <c r="F69" s="23" t="n">
        <f aca="false">IFERROR(VALUE(SUBSTITUTE(INDEX('Paste BPG'!$A:$Z,MATCH($B69,'Paste BPG'!$C:$C,0),MATCH("BP PAJAK",'Paste BPG'!$3:$3,0)),".","")),0)</f>
        <v>0</v>
      </c>
      <c r="G69" s="23" t="n">
        <f aca="false">IFERROR(VALUE(SUBSTITUTE(INDEX('Paste BPG'!$A:$Z,MATCH($B69,'Paste BPG'!$C:$C,0),MATCH("BP HIBAH",'Paste BPG'!$3:$3,0)),".","")),0)</f>
        <v>0</v>
      </c>
      <c r="H69" s="23" t="n">
        <f aca="false">IFERROR(VALUE(SUBSTITUTE(INDEX('Paste BPG'!$A:$Z,MATCH($B69,'Paste BPG'!$C:$C,0),MATCH("BP LAIN-LAIN",'Paste BPG'!$3:$3,0)),".","")),0)</f>
        <v>0</v>
      </c>
      <c r="I69" s="24" t="n">
        <f aca="false">D69+E69+F69+G69+H69</f>
        <v>0</v>
      </c>
      <c r="J69" s="23" t="n">
        <f aca="false">D69</f>
        <v>0</v>
      </c>
      <c r="K69" s="23" t="n">
        <f aca="false">IFERROR(VALUE(SUBSTITUTE(INDEX('Paste BPG'!$A:$Z,MATCH($B69,'Paste BPG'!$C:$C,0),MATCH("KUITANSI",'Paste BPG'!$3:$3,0)),".","")),0)</f>
        <v>0</v>
      </c>
      <c r="L69" s="24" t="n">
        <f aca="false">J69+K69</f>
        <v>0</v>
      </c>
    </row>
    <row r="70" customFormat="false" ht="15.75" hidden="false" customHeight="true" outlineLevel="0" collapsed="false">
      <c r="A70" s="19" t="n">
        <v>61</v>
      </c>
      <c r="B70" s="20" t="s">
        <v>149</v>
      </c>
      <c r="C70" s="21" t="s">
        <v>150</v>
      </c>
      <c r="D70" s="25" t="n">
        <f aca="false">IFERROR(VALUE(SUBSTITUTE(INDEX('Paste BPG'!$A:$Z,MATCH($B70,'Paste BPG'!$C:$C,0),MATCH("BP UP/TUP",'Paste BPG'!$3:$3,0)),".","")),0)</f>
        <v>0</v>
      </c>
      <c r="E70" s="23" t="n">
        <f aca="false">IFERROR(VALUE(SUBSTITUTE(INDEX('Paste BPG'!$A:$Z,MATCH($B70,'Paste BPG'!$C:$C,0),MATCH("BP LS BENDAHARA",'Paste BPG'!$3:$3,0)),".","")),0)</f>
        <v>0</v>
      </c>
      <c r="F70" s="23" t="n">
        <f aca="false">IFERROR(VALUE(SUBSTITUTE(INDEX('Paste BPG'!$A:$Z,MATCH($B70,'Paste BPG'!$C:$C,0),MATCH("BP PAJAK",'Paste BPG'!$3:$3,0)),".","")),0)</f>
        <v>0</v>
      </c>
      <c r="G70" s="23" t="n">
        <f aca="false">IFERROR(VALUE(SUBSTITUTE(INDEX('Paste BPG'!$A:$Z,MATCH($B70,'Paste BPG'!$C:$C,0),MATCH("BP HIBAH",'Paste BPG'!$3:$3,0)),".","")),0)</f>
        <v>0</v>
      </c>
      <c r="H70" s="23" t="n">
        <f aca="false">IFERROR(VALUE(SUBSTITUTE(INDEX('Paste BPG'!$A:$Z,MATCH($B70,'Paste BPG'!$C:$C,0),MATCH("BP LAIN-LAIN",'Paste BPG'!$3:$3,0)),".","")),0)</f>
        <v>0</v>
      </c>
      <c r="I70" s="24" t="n">
        <f aca="false">D70+E70+F70+G70+H70</f>
        <v>0</v>
      </c>
      <c r="J70" s="23" t="n">
        <f aca="false">D70</f>
        <v>0</v>
      </c>
      <c r="K70" s="23" t="n">
        <f aca="false">IFERROR(VALUE(SUBSTITUTE(INDEX('Paste BPG'!$A:$Z,MATCH($B70,'Paste BPG'!$C:$C,0),MATCH("KUITANSI",'Paste BPG'!$3:$3,0)),".","")),0)</f>
        <v>0</v>
      </c>
      <c r="L70" s="24" t="n">
        <f aca="false">J70+K70</f>
        <v>0</v>
      </c>
    </row>
    <row r="71" customFormat="false" ht="15.75" hidden="false" customHeight="true" outlineLevel="0" collapsed="false">
      <c r="A71" s="19" t="n">
        <v>62</v>
      </c>
      <c r="B71" s="20" t="s">
        <v>151</v>
      </c>
      <c r="C71" s="21" t="s">
        <v>152</v>
      </c>
      <c r="D71" s="25" t="n">
        <f aca="false">IFERROR(VALUE(SUBSTITUTE(INDEX('Paste BPG'!$A:$Z,MATCH($B71,'Paste BPG'!$C:$C,0),MATCH("BP UP/TUP",'Paste BPG'!$3:$3,0)),".","")),0)</f>
        <v>0</v>
      </c>
      <c r="E71" s="23" t="n">
        <f aca="false">IFERROR(VALUE(SUBSTITUTE(INDEX('Paste BPG'!$A:$Z,MATCH($B71,'Paste BPG'!$C:$C,0),MATCH("BP LS BENDAHARA",'Paste BPG'!$3:$3,0)),".","")),0)</f>
        <v>0</v>
      </c>
      <c r="F71" s="23" t="n">
        <f aca="false">IFERROR(VALUE(SUBSTITUTE(INDEX('Paste BPG'!$A:$Z,MATCH($B71,'Paste BPG'!$C:$C,0),MATCH("BP PAJAK",'Paste BPG'!$3:$3,0)),".","")),0)</f>
        <v>0</v>
      </c>
      <c r="G71" s="23" t="n">
        <f aca="false">IFERROR(VALUE(SUBSTITUTE(INDEX('Paste BPG'!$A:$Z,MATCH($B71,'Paste BPG'!$C:$C,0),MATCH("BP HIBAH",'Paste BPG'!$3:$3,0)),".","")),0)</f>
        <v>0</v>
      </c>
      <c r="H71" s="23" t="n">
        <f aca="false">IFERROR(VALUE(SUBSTITUTE(INDEX('Paste BPG'!$A:$Z,MATCH($B71,'Paste BPG'!$C:$C,0),MATCH("BP LAIN-LAIN",'Paste BPG'!$3:$3,0)),".","")),0)</f>
        <v>0</v>
      </c>
      <c r="I71" s="24" t="n">
        <f aca="false">D71+E71+F71+G71+H71</f>
        <v>0</v>
      </c>
      <c r="J71" s="23" t="n">
        <f aca="false">D71</f>
        <v>0</v>
      </c>
      <c r="K71" s="23" t="n">
        <f aca="false">IFERROR(VALUE(SUBSTITUTE(INDEX('Paste BPG'!$A:$Z,MATCH($B71,'Paste BPG'!$C:$C,0),MATCH("KUITANSI",'Paste BPG'!$3:$3,0)),".","")),0)</f>
        <v>0</v>
      </c>
      <c r="L71" s="24" t="n">
        <f aca="false">J71+K71</f>
        <v>0</v>
      </c>
    </row>
    <row r="72" customFormat="false" ht="15.75" hidden="false" customHeight="true" outlineLevel="0" collapsed="false">
      <c r="A72" s="19" t="n">
        <v>63</v>
      </c>
      <c r="B72" s="20" t="s">
        <v>153</v>
      </c>
      <c r="C72" s="21" t="s">
        <v>154</v>
      </c>
      <c r="D72" s="25" t="n">
        <f aca="false">IFERROR(VALUE(SUBSTITUTE(INDEX('Paste BPG'!$A:$Z,MATCH($B72,'Paste BPG'!$C:$C,0),MATCH("BP UP/TUP",'Paste BPG'!$3:$3,0)),".","")),0)</f>
        <v>0</v>
      </c>
      <c r="E72" s="23" t="n">
        <f aca="false">IFERROR(VALUE(SUBSTITUTE(INDEX('Paste BPG'!$A:$Z,MATCH($B72,'Paste BPG'!$C:$C,0),MATCH("BP LS BENDAHARA",'Paste BPG'!$3:$3,0)),".","")),0)</f>
        <v>0</v>
      </c>
      <c r="F72" s="23" t="n">
        <f aca="false">IFERROR(VALUE(SUBSTITUTE(INDEX('Paste BPG'!$A:$Z,MATCH($B72,'Paste BPG'!$C:$C,0),MATCH("BP PAJAK",'Paste BPG'!$3:$3,0)),".","")),0)</f>
        <v>0</v>
      </c>
      <c r="G72" s="23" t="n">
        <f aca="false">IFERROR(VALUE(SUBSTITUTE(INDEX('Paste BPG'!$A:$Z,MATCH($B72,'Paste BPG'!$C:$C,0),MATCH("BP HIBAH",'Paste BPG'!$3:$3,0)),".","")),0)</f>
        <v>0</v>
      </c>
      <c r="H72" s="23" t="n">
        <f aca="false">IFERROR(VALUE(SUBSTITUTE(INDEX('Paste BPG'!$A:$Z,MATCH($B72,'Paste BPG'!$C:$C,0),MATCH("BP LAIN-LAIN",'Paste BPG'!$3:$3,0)),".","")),0)</f>
        <v>0</v>
      </c>
      <c r="I72" s="24" t="n">
        <f aca="false">D72+E72+F72+G72+H72</f>
        <v>0</v>
      </c>
      <c r="J72" s="23" t="n">
        <f aca="false">D72</f>
        <v>0</v>
      </c>
      <c r="K72" s="23" t="n">
        <f aca="false">IFERROR(VALUE(SUBSTITUTE(INDEX('Paste BPG'!$A:$Z,MATCH($B72,'Paste BPG'!$C:$C,0),MATCH("KUITANSI",'Paste BPG'!$3:$3,0)),".","")),0)</f>
        <v>0</v>
      </c>
      <c r="L72" s="24" t="n">
        <f aca="false">J72+K72</f>
        <v>0</v>
      </c>
    </row>
    <row r="73" customFormat="false" ht="15.75" hidden="false" customHeight="true" outlineLevel="0" collapsed="false">
      <c r="A73" s="19" t="n">
        <v>64</v>
      </c>
      <c r="B73" s="20" t="s">
        <v>155</v>
      </c>
      <c r="C73" s="21" t="s">
        <v>156</v>
      </c>
      <c r="D73" s="25" t="n">
        <f aca="false">IFERROR(VALUE(SUBSTITUTE(INDEX('Paste BPG'!$A:$Z,MATCH($B73,'Paste BPG'!$C:$C,0),MATCH("BP UP/TUP",'Paste BPG'!$3:$3,0)),".","")),0)</f>
        <v>0</v>
      </c>
      <c r="E73" s="23" t="n">
        <f aca="false">IFERROR(VALUE(SUBSTITUTE(INDEX('Paste BPG'!$A:$Z,MATCH($B73,'Paste BPG'!$C:$C,0),MATCH("BP LS BENDAHARA",'Paste BPG'!$3:$3,0)),".","")),0)</f>
        <v>0</v>
      </c>
      <c r="F73" s="23" t="n">
        <f aca="false">IFERROR(VALUE(SUBSTITUTE(INDEX('Paste BPG'!$A:$Z,MATCH($B73,'Paste BPG'!$C:$C,0),MATCH("BP PAJAK",'Paste BPG'!$3:$3,0)),".","")),0)</f>
        <v>0</v>
      </c>
      <c r="G73" s="23" t="n">
        <f aca="false">IFERROR(VALUE(SUBSTITUTE(INDEX('Paste BPG'!$A:$Z,MATCH($B73,'Paste BPG'!$C:$C,0),MATCH("BP HIBAH",'Paste BPG'!$3:$3,0)),".","")),0)</f>
        <v>0</v>
      </c>
      <c r="H73" s="23" t="n">
        <f aca="false">IFERROR(VALUE(SUBSTITUTE(INDEX('Paste BPG'!$A:$Z,MATCH($B73,'Paste BPG'!$C:$C,0),MATCH("BP LAIN-LAIN",'Paste BPG'!$3:$3,0)),".","")),0)</f>
        <v>0</v>
      </c>
      <c r="I73" s="24" t="n">
        <f aca="false">D73+E73+F73+G73+H73</f>
        <v>0</v>
      </c>
      <c r="J73" s="23" t="n">
        <f aca="false">D73</f>
        <v>0</v>
      </c>
      <c r="K73" s="23" t="n">
        <f aca="false">IFERROR(VALUE(SUBSTITUTE(INDEX('Paste BPG'!$A:$Z,MATCH($B73,'Paste BPG'!$C:$C,0),MATCH("KUITANSI",'Paste BPG'!$3:$3,0)),".","")),0)</f>
        <v>0</v>
      </c>
      <c r="L73" s="24" t="n">
        <f aca="false">J73+K73</f>
        <v>0</v>
      </c>
    </row>
    <row r="74" customFormat="false" ht="15.75" hidden="false" customHeight="true" outlineLevel="0" collapsed="false">
      <c r="A74" s="19" t="n">
        <v>65</v>
      </c>
      <c r="B74" s="20" t="s">
        <v>157</v>
      </c>
      <c r="C74" s="21" t="s">
        <v>158</v>
      </c>
      <c r="D74" s="25" t="n">
        <f aca="false">IFERROR(VALUE(SUBSTITUTE(INDEX('Paste BPG'!$A:$Z,MATCH($B74,'Paste BPG'!$C:$C,0),MATCH("BP UP/TUP",'Paste BPG'!$3:$3,0)),".","")),0)</f>
        <v>0</v>
      </c>
      <c r="E74" s="23" t="n">
        <f aca="false">IFERROR(VALUE(SUBSTITUTE(INDEX('Paste BPG'!$A:$Z,MATCH($B74,'Paste BPG'!$C:$C,0),MATCH("BP LS BENDAHARA",'Paste BPG'!$3:$3,0)),".","")),0)</f>
        <v>0</v>
      </c>
      <c r="F74" s="23" t="n">
        <f aca="false">IFERROR(VALUE(SUBSTITUTE(INDEX('Paste BPG'!$A:$Z,MATCH($B74,'Paste BPG'!$C:$C,0),MATCH("BP PAJAK",'Paste BPG'!$3:$3,0)),".","")),0)</f>
        <v>0</v>
      </c>
      <c r="G74" s="23" t="n">
        <f aca="false">IFERROR(VALUE(SUBSTITUTE(INDEX('Paste BPG'!$A:$Z,MATCH($B74,'Paste BPG'!$C:$C,0),MATCH("BP HIBAH",'Paste BPG'!$3:$3,0)),".","")),0)</f>
        <v>0</v>
      </c>
      <c r="H74" s="23" t="n">
        <f aca="false">IFERROR(VALUE(SUBSTITUTE(INDEX('Paste BPG'!$A:$Z,MATCH($B74,'Paste BPG'!$C:$C,0),MATCH("BP LAIN-LAIN",'Paste BPG'!$3:$3,0)),".","")),0)</f>
        <v>0</v>
      </c>
      <c r="I74" s="24" t="n">
        <f aca="false">D74+E74+F74+G74+H74</f>
        <v>0</v>
      </c>
      <c r="J74" s="23" t="n">
        <f aca="false">D74</f>
        <v>0</v>
      </c>
      <c r="K74" s="23" t="n">
        <f aca="false">IFERROR(VALUE(SUBSTITUTE(INDEX('Paste BPG'!$A:$Z,MATCH($B74,'Paste BPG'!$C:$C,0),MATCH("KUITANSI",'Paste BPG'!$3:$3,0)),".","")),0)</f>
        <v>0</v>
      </c>
      <c r="L74" s="24" t="n">
        <f aca="false">J74+K74</f>
        <v>0</v>
      </c>
    </row>
    <row r="75" customFormat="false" ht="15.75" hidden="false" customHeight="true" outlineLevel="0" collapsed="false">
      <c r="A75" s="19" t="n">
        <v>66</v>
      </c>
      <c r="B75" s="20" t="s">
        <v>159</v>
      </c>
      <c r="C75" s="21" t="s">
        <v>160</v>
      </c>
      <c r="D75" s="25" t="n">
        <f aca="false">IFERROR(VALUE(SUBSTITUTE(INDEX('Paste BPG'!$A:$Z,MATCH($B75,'Paste BPG'!$C:$C,0),MATCH("BP UP/TUP",'Paste BPG'!$3:$3,0)),".","")),0)</f>
        <v>0</v>
      </c>
      <c r="E75" s="23" t="n">
        <f aca="false">IFERROR(VALUE(SUBSTITUTE(INDEX('Paste BPG'!$A:$Z,MATCH($B75,'Paste BPG'!$C:$C,0),MATCH("BP LS BENDAHARA",'Paste BPG'!$3:$3,0)),".","")),0)</f>
        <v>0</v>
      </c>
      <c r="F75" s="23" t="n">
        <f aca="false">IFERROR(VALUE(SUBSTITUTE(INDEX('Paste BPG'!$A:$Z,MATCH($B75,'Paste BPG'!$C:$C,0),MATCH("BP PAJAK",'Paste BPG'!$3:$3,0)),".","")),0)</f>
        <v>0</v>
      </c>
      <c r="G75" s="23" t="n">
        <f aca="false">IFERROR(VALUE(SUBSTITUTE(INDEX('Paste BPG'!$A:$Z,MATCH($B75,'Paste BPG'!$C:$C,0),MATCH("BP HIBAH",'Paste BPG'!$3:$3,0)),".","")),0)</f>
        <v>0</v>
      </c>
      <c r="H75" s="23" t="n">
        <f aca="false">IFERROR(VALUE(SUBSTITUTE(INDEX('Paste BPG'!$A:$Z,MATCH($B75,'Paste BPG'!$C:$C,0),MATCH("BP LAIN-LAIN",'Paste BPG'!$3:$3,0)),".","")),0)</f>
        <v>0</v>
      </c>
      <c r="I75" s="24" t="n">
        <f aca="false">D75+E75+F75+G75+H75</f>
        <v>0</v>
      </c>
      <c r="J75" s="23" t="n">
        <f aca="false">D75</f>
        <v>0</v>
      </c>
      <c r="K75" s="23" t="n">
        <f aca="false">IFERROR(VALUE(SUBSTITUTE(INDEX('Paste BPG'!$A:$Z,MATCH($B75,'Paste BPG'!$C:$C,0),MATCH("KUITANSI",'Paste BPG'!$3:$3,0)),".","")),0)</f>
        <v>0</v>
      </c>
      <c r="L75" s="24" t="n">
        <f aca="false">J75+K75</f>
        <v>0</v>
      </c>
    </row>
    <row r="76" customFormat="false" ht="15.75" hidden="false" customHeight="true" outlineLevel="0" collapsed="false">
      <c r="A76" s="19" t="n">
        <v>67</v>
      </c>
      <c r="B76" s="20" t="s">
        <v>161</v>
      </c>
      <c r="C76" s="21" t="s">
        <v>162</v>
      </c>
      <c r="D76" s="25" t="n">
        <f aca="false">IFERROR(VALUE(SUBSTITUTE(INDEX('Paste BPG'!$A:$Z,MATCH($B76,'Paste BPG'!$C:$C,0),MATCH("BP UP/TUP",'Paste BPG'!$3:$3,0)),".","")),0)</f>
        <v>0</v>
      </c>
      <c r="E76" s="23" t="n">
        <f aca="false">IFERROR(VALUE(SUBSTITUTE(INDEX('Paste BPG'!$A:$Z,MATCH($B76,'Paste BPG'!$C:$C,0),MATCH("BP LS BENDAHARA",'Paste BPG'!$3:$3,0)),".","")),0)</f>
        <v>0</v>
      </c>
      <c r="F76" s="23" t="n">
        <f aca="false">IFERROR(VALUE(SUBSTITUTE(INDEX('Paste BPG'!$A:$Z,MATCH($B76,'Paste BPG'!$C:$C,0),MATCH("BP PAJAK",'Paste BPG'!$3:$3,0)),".","")),0)</f>
        <v>0</v>
      </c>
      <c r="G76" s="23" t="n">
        <f aca="false">IFERROR(VALUE(SUBSTITUTE(INDEX('Paste BPG'!$A:$Z,MATCH($B76,'Paste BPG'!$C:$C,0),MATCH("BP HIBAH",'Paste BPG'!$3:$3,0)),".","")),0)</f>
        <v>0</v>
      </c>
      <c r="H76" s="23" t="n">
        <f aca="false">IFERROR(VALUE(SUBSTITUTE(INDEX('Paste BPG'!$A:$Z,MATCH($B76,'Paste BPG'!$C:$C,0),MATCH("BP LAIN-LAIN",'Paste BPG'!$3:$3,0)),".","")),0)</f>
        <v>0</v>
      </c>
      <c r="I76" s="24" t="n">
        <f aca="false">D76+E76+F76+G76+H76</f>
        <v>0</v>
      </c>
      <c r="J76" s="23" t="n">
        <f aca="false">D76</f>
        <v>0</v>
      </c>
      <c r="K76" s="23" t="n">
        <f aca="false">IFERROR(VALUE(SUBSTITUTE(INDEX('Paste BPG'!$A:$Z,MATCH($B76,'Paste BPG'!$C:$C,0),MATCH("KUITANSI",'Paste BPG'!$3:$3,0)),".","")),0)</f>
        <v>0</v>
      </c>
      <c r="L76" s="24" t="n">
        <f aca="false">J76+K76</f>
        <v>0</v>
      </c>
    </row>
    <row r="77" customFormat="false" ht="15.75" hidden="false" customHeight="true" outlineLevel="0" collapsed="false">
      <c r="A77" s="19" t="n">
        <v>68</v>
      </c>
      <c r="B77" s="20" t="s">
        <v>163</v>
      </c>
      <c r="C77" s="21" t="s">
        <v>164</v>
      </c>
      <c r="D77" s="25" t="n">
        <f aca="false">IFERROR(VALUE(SUBSTITUTE(INDEX('Paste BPG'!$A:$Z,MATCH($B77,'Paste BPG'!$C:$C,0),MATCH("BP UP/TUP",'Paste BPG'!$3:$3,0)),".","")),0)</f>
        <v>0</v>
      </c>
      <c r="E77" s="23" t="n">
        <f aca="false">IFERROR(VALUE(SUBSTITUTE(INDEX('Paste BPG'!$A:$Z,MATCH($B77,'Paste BPG'!$C:$C,0),MATCH("BP LS BENDAHARA",'Paste BPG'!$3:$3,0)),".","")),0)</f>
        <v>0</v>
      </c>
      <c r="F77" s="23" t="n">
        <f aca="false">IFERROR(VALUE(SUBSTITUTE(INDEX('Paste BPG'!$A:$Z,MATCH($B77,'Paste BPG'!$C:$C,0),MATCH("BP PAJAK",'Paste BPG'!$3:$3,0)),".","")),0)</f>
        <v>0</v>
      </c>
      <c r="G77" s="23" t="n">
        <f aca="false">IFERROR(VALUE(SUBSTITUTE(INDEX('Paste BPG'!$A:$Z,MATCH($B77,'Paste BPG'!$C:$C,0),MATCH("BP HIBAH",'Paste BPG'!$3:$3,0)),".","")),0)</f>
        <v>0</v>
      </c>
      <c r="H77" s="23" t="n">
        <f aca="false">IFERROR(VALUE(SUBSTITUTE(INDEX('Paste BPG'!$A:$Z,MATCH($B77,'Paste BPG'!$C:$C,0),MATCH("BP LAIN-LAIN",'Paste BPG'!$3:$3,0)),".","")),0)</f>
        <v>0</v>
      </c>
      <c r="I77" s="24" t="n">
        <f aca="false">D77+E77+F77+G77+H77</f>
        <v>0</v>
      </c>
      <c r="J77" s="23" t="n">
        <f aca="false">D77</f>
        <v>0</v>
      </c>
      <c r="K77" s="23" t="n">
        <f aca="false">IFERROR(VALUE(SUBSTITUTE(INDEX('Paste BPG'!$A:$Z,MATCH($B77,'Paste BPG'!$C:$C,0),MATCH("KUITANSI",'Paste BPG'!$3:$3,0)),".","")),0)</f>
        <v>0</v>
      </c>
      <c r="L77" s="24" t="n">
        <f aca="false">J77+K77</f>
        <v>0</v>
      </c>
    </row>
    <row r="78" customFormat="false" ht="15.75" hidden="false" customHeight="true" outlineLevel="0" collapsed="false">
      <c r="A78" s="19" t="n">
        <v>69</v>
      </c>
      <c r="B78" s="20" t="s">
        <v>165</v>
      </c>
      <c r="C78" s="21" t="s">
        <v>166</v>
      </c>
      <c r="D78" s="25" t="n">
        <f aca="false">IFERROR(VALUE(SUBSTITUTE(INDEX('Paste BPG'!$A:$Z,MATCH($B78,'Paste BPG'!$C:$C,0),MATCH("BP UP/TUP",'Paste BPG'!$3:$3,0)),".","")),0)</f>
        <v>0</v>
      </c>
      <c r="E78" s="23" t="n">
        <f aca="false">IFERROR(VALUE(SUBSTITUTE(INDEX('Paste BPG'!$A:$Z,MATCH($B78,'Paste BPG'!$C:$C,0),MATCH("BP LS BENDAHARA",'Paste BPG'!$3:$3,0)),".","")),0)</f>
        <v>0</v>
      </c>
      <c r="F78" s="23" t="n">
        <f aca="false">IFERROR(VALUE(SUBSTITUTE(INDEX('Paste BPG'!$A:$Z,MATCH($B78,'Paste BPG'!$C:$C,0),MATCH("BP PAJAK",'Paste BPG'!$3:$3,0)),".","")),0)</f>
        <v>0</v>
      </c>
      <c r="G78" s="23" t="n">
        <f aca="false">IFERROR(VALUE(SUBSTITUTE(INDEX('Paste BPG'!$A:$Z,MATCH($B78,'Paste BPG'!$C:$C,0),MATCH("BP HIBAH",'Paste BPG'!$3:$3,0)),".","")),0)</f>
        <v>0</v>
      </c>
      <c r="H78" s="23" t="n">
        <f aca="false">IFERROR(VALUE(SUBSTITUTE(INDEX('Paste BPG'!$A:$Z,MATCH($B78,'Paste BPG'!$C:$C,0),MATCH("BP LAIN-LAIN",'Paste BPG'!$3:$3,0)),".","")),0)</f>
        <v>0</v>
      </c>
      <c r="I78" s="24" t="n">
        <f aca="false">D78+E78+F78+G78+H78</f>
        <v>0</v>
      </c>
      <c r="J78" s="23" t="n">
        <f aca="false">D78</f>
        <v>0</v>
      </c>
      <c r="K78" s="23" t="n">
        <f aca="false">IFERROR(VALUE(SUBSTITUTE(INDEX('Paste BPG'!$A:$Z,MATCH($B78,'Paste BPG'!$C:$C,0),MATCH("KUITANSI",'Paste BPG'!$3:$3,0)),".","")),0)</f>
        <v>0</v>
      </c>
      <c r="L78" s="24" t="n">
        <f aca="false">J78+K78</f>
        <v>0</v>
      </c>
    </row>
    <row r="79" customFormat="false" ht="15.75" hidden="false" customHeight="true" outlineLevel="0" collapsed="false">
      <c r="A79" s="19" t="n">
        <v>70</v>
      </c>
      <c r="B79" s="20" t="s">
        <v>167</v>
      </c>
      <c r="C79" s="21" t="s">
        <v>168</v>
      </c>
      <c r="D79" s="25" t="n">
        <f aca="false">IFERROR(VALUE(SUBSTITUTE(INDEX('Paste BPG'!$A:$Z,MATCH($B79,'Paste BPG'!$C:$C,0),MATCH("BP UP/TUP",'Paste BPG'!$3:$3,0)),".","")),0)</f>
        <v>0</v>
      </c>
      <c r="E79" s="23" t="n">
        <f aca="false">IFERROR(VALUE(SUBSTITUTE(INDEX('Paste BPG'!$A:$Z,MATCH($B79,'Paste BPG'!$C:$C,0),MATCH("BP LS BENDAHARA",'Paste BPG'!$3:$3,0)),".","")),0)</f>
        <v>0</v>
      </c>
      <c r="F79" s="23" t="n">
        <f aca="false">IFERROR(VALUE(SUBSTITUTE(INDEX('Paste BPG'!$A:$Z,MATCH($B79,'Paste BPG'!$C:$C,0),MATCH("BP PAJAK",'Paste BPG'!$3:$3,0)),".","")),0)</f>
        <v>0</v>
      </c>
      <c r="G79" s="23" t="n">
        <f aca="false">IFERROR(VALUE(SUBSTITUTE(INDEX('Paste BPG'!$A:$Z,MATCH($B79,'Paste BPG'!$C:$C,0),MATCH("BP HIBAH",'Paste BPG'!$3:$3,0)),".","")),0)</f>
        <v>0</v>
      </c>
      <c r="H79" s="23" t="n">
        <f aca="false">IFERROR(VALUE(SUBSTITUTE(INDEX('Paste BPG'!$A:$Z,MATCH($B79,'Paste BPG'!$C:$C,0),MATCH("BP LAIN-LAIN",'Paste BPG'!$3:$3,0)),".","")),0)</f>
        <v>0</v>
      </c>
      <c r="I79" s="24" t="n">
        <f aca="false">D79+E79+F79+G79+H79</f>
        <v>0</v>
      </c>
      <c r="J79" s="23" t="n">
        <f aca="false">D79</f>
        <v>0</v>
      </c>
      <c r="K79" s="23" t="n">
        <f aca="false">IFERROR(VALUE(SUBSTITUTE(INDEX('Paste BPG'!$A:$Z,MATCH($B79,'Paste BPG'!$C:$C,0),MATCH("KUITANSI",'Paste BPG'!$3:$3,0)),".","")),0)</f>
        <v>0</v>
      </c>
      <c r="L79" s="24" t="n">
        <f aca="false">J79+K79</f>
        <v>0</v>
      </c>
    </row>
    <row r="80" customFormat="false" ht="15.75" hidden="false" customHeight="true" outlineLevel="0" collapsed="false">
      <c r="A80" s="19" t="n">
        <v>71</v>
      </c>
      <c r="B80" s="20" t="s">
        <v>169</v>
      </c>
      <c r="C80" s="30" t="s">
        <v>170</v>
      </c>
      <c r="D80" s="25" t="n">
        <f aca="false">IFERROR(VALUE(SUBSTITUTE(INDEX('Paste BPG'!$A:$Z,MATCH($B80,'Paste BPG'!$C:$C,0),MATCH("BP UP/TUP",'Paste BPG'!$3:$3,0)),".","")),0)</f>
        <v>0</v>
      </c>
      <c r="E80" s="23" t="n">
        <f aca="false">IFERROR(VALUE(SUBSTITUTE(INDEX('Paste BPG'!$A:$Z,MATCH($B80,'Paste BPG'!$C:$C,0),MATCH("BP LS BENDAHARA",'Paste BPG'!$3:$3,0)),".","")),0)</f>
        <v>0</v>
      </c>
      <c r="F80" s="23" t="n">
        <f aca="false">IFERROR(VALUE(SUBSTITUTE(INDEX('Paste BPG'!$A:$Z,MATCH($B80,'Paste BPG'!$C:$C,0),MATCH("BP PAJAK",'Paste BPG'!$3:$3,0)),".","")),0)</f>
        <v>0</v>
      </c>
      <c r="G80" s="23" t="n">
        <f aca="false">IFERROR(VALUE(SUBSTITUTE(INDEX('Paste BPG'!$A:$Z,MATCH($B80,'Paste BPG'!$C:$C,0),MATCH("BP HIBAH",'Paste BPG'!$3:$3,0)),".","")),0)</f>
        <v>0</v>
      </c>
      <c r="H80" s="23" t="n">
        <f aca="false">IFERROR(VALUE(SUBSTITUTE(INDEX('Paste BPG'!$A:$Z,MATCH($B80,'Paste BPG'!$C:$C,0),MATCH("BP LAIN-LAIN",'Paste BPG'!$3:$3,0)),".","")),0)</f>
        <v>0</v>
      </c>
      <c r="I80" s="24" t="n">
        <f aca="false">D80+E80+F80+G80+H80</f>
        <v>0</v>
      </c>
      <c r="J80" s="23" t="n">
        <f aca="false">D80</f>
        <v>0</v>
      </c>
      <c r="K80" s="23" t="n">
        <f aca="false">IFERROR(VALUE(SUBSTITUTE(INDEX('Paste BPG'!$A:$Z,MATCH($B80,'Paste BPG'!$C:$C,0),MATCH("KUITANSI",'Paste BPG'!$3:$3,0)),".","")),0)</f>
        <v>0</v>
      </c>
      <c r="L80" s="24" t="n">
        <f aca="false">J80+K80</f>
        <v>0</v>
      </c>
    </row>
    <row r="81" customFormat="false" ht="15.75" hidden="false" customHeight="true" outlineLevel="0" collapsed="false">
      <c r="A81" s="19" t="n">
        <v>72</v>
      </c>
      <c r="B81" s="20" t="s">
        <v>171</v>
      </c>
      <c r="C81" s="21" t="s">
        <v>172</v>
      </c>
      <c r="D81" s="25" t="n">
        <f aca="false">IFERROR(VALUE(SUBSTITUTE(INDEX('Paste BPG'!$A:$Z,MATCH($B81,'Paste BPG'!$C:$C,0),MATCH("BP UP/TUP",'Paste BPG'!$3:$3,0)),".","")),0)</f>
        <v>0</v>
      </c>
      <c r="E81" s="23" t="n">
        <f aca="false">IFERROR(VALUE(SUBSTITUTE(INDEX('Paste BPG'!$A:$Z,MATCH($B81,'Paste BPG'!$C:$C,0),MATCH("BP LS BENDAHARA",'Paste BPG'!$3:$3,0)),".","")),0)</f>
        <v>0</v>
      </c>
      <c r="F81" s="23" t="n">
        <f aca="false">IFERROR(VALUE(SUBSTITUTE(INDEX('Paste BPG'!$A:$Z,MATCH($B81,'Paste BPG'!$C:$C,0),MATCH("BP PAJAK",'Paste BPG'!$3:$3,0)),".","")),0)</f>
        <v>0</v>
      </c>
      <c r="G81" s="23" t="n">
        <f aca="false">IFERROR(VALUE(SUBSTITUTE(INDEX('Paste BPG'!$A:$Z,MATCH($B81,'Paste BPG'!$C:$C,0),MATCH("BP HIBAH",'Paste BPG'!$3:$3,0)),".","")),0)</f>
        <v>0</v>
      </c>
      <c r="H81" s="23" t="n">
        <f aca="false">IFERROR(VALUE(SUBSTITUTE(INDEX('Paste BPG'!$A:$Z,MATCH($B81,'Paste BPG'!$C:$C,0),MATCH("BP LAIN-LAIN",'Paste BPG'!$3:$3,0)),".","")),0)</f>
        <v>0</v>
      </c>
      <c r="I81" s="24" t="n">
        <f aca="false">D81+E81+F81+G81+H81</f>
        <v>0</v>
      </c>
      <c r="J81" s="23" t="n">
        <f aca="false">D81</f>
        <v>0</v>
      </c>
      <c r="K81" s="23" t="n">
        <f aca="false">IFERROR(VALUE(SUBSTITUTE(INDEX('Paste BPG'!$A:$Z,MATCH($B81,'Paste BPG'!$C:$C,0),MATCH("KUITANSI",'Paste BPG'!$3:$3,0)),".","")),0)</f>
        <v>0</v>
      </c>
      <c r="L81" s="24" t="n">
        <f aca="false">J81+K81</f>
        <v>0</v>
      </c>
    </row>
    <row r="82" customFormat="false" ht="15.75" hidden="false" customHeight="true" outlineLevel="0" collapsed="false">
      <c r="A82" s="19" t="n">
        <v>73</v>
      </c>
      <c r="B82" s="20" t="s">
        <v>173</v>
      </c>
      <c r="C82" s="21" t="s">
        <v>174</v>
      </c>
      <c r="D82" s="25" t="n">
        <f aca="false">IFERROR(VALUE(SUBSTITUTE(INDEX('Paste BPG'!$A:$Z,MATCH($B82,'Paste BPG'!$C:$C,0),MATCH("BP UP/TUP",'Paste BPG'!$3:$3,0)),".","")),0)</f>
        <v>0</v>
      </c>
      <c r="E82" s="23" t="n">
        <f aca="false">IFERROR(VALUE(SUBSTITUTE(INDEX('Paste BPG'!$A:$Z,MATCH($B82,'Paste BPG'!$C:$C,0),MATCH("BP LS BENDAHARA",'Paste BPG'!$3:$3,0)),".","")),0)</f>
        <v>0</v>
      </c>
      <c r="F82" s="23" t="n">
        <f aca="false">IFERROR(VALUE(SUBSTITUTE(INDEX('Paste BPG'!$A:$Z,MATCH($B82,'Paste BPG'!$C:$C,0),MATCH("BP PAJAK",'Paste BPG'!$3:$3,0)),".","")),0)</f>
        <v>0</v>
      </c>
      <c r="G82" s="23" t="n">
        <f aca="false">IFERROR(VALUE(SUBSTITUTE(INDEX('Paste BPG'!$A:$Z,MATCH($B82,'Paste BPG'!$C:$C,0),MATCH("BP HIBAH",'Paste BPG'!$3:$3,0)),".","")),0)</f>
        <v>0</v>
      </c>
      <c r="H82" s="23" t="n">
        <f aca="false">IFERROR(VALUE(SUBSTITUTE(INDEX('Paste BPG'!$A:$Z,MATCH($B82,'Paste BPG'!$C:$C,0),MATCH("BP LAIN-LAIN",'Paste BPG'!$3:$3,0)),".","")),0)</f>
        <v>0</v>
      </c>
      <c r="I82" s="24" t="n">
        <f aca="false">D82+E82+F82+G82+H82</f>
        <v>0</v>
      </c>
      <c r="J82" s="23" t="n">
        <f aca="false">D82</f>
        <v>0</v>
      </c>
      <c r="K82" s="23" t="n">
        <f aca="false">IFERROR(VALUE(SUBSTITUTE(INDEX('Paste BPG'!$A:$Z,MATCH($B82,'Paste BPG'!$C:$C,0),MATCH("KUITANSI",'Paste BPG'!$3:$3,0)),".","")),0)</f>
        <v>0</v>
      </c>
      <c r="L82" s="24" t="n">
        <f aca="false">J82+K82</f>
        <v>0</v>
      </c>
    </row>
    <row r="83" customFormat="false" ht="15.75" hidden="false" customHeight="true" outlineLevel="0" collapsed="false">
      <c r="A83" s="19" t="n">
        <v>74</v>
      </c>
      <c r="B83" s="20" t="s">
        <v>175</v>
      </c>
      <c r="C83" s="21" t="s">
        <v>176</v>
      </c>
      <c r="D83" s="25" t="n">
        <f aca="false">IFERROR(VALUE(SUBSTITUTE(INDEX('Paste BPG'!$A:$Z,MATCH($B83,'Paste BPG'!$C:$C,0),MATCH("BP UP/TUP",'Paste BPG'!$3:$3,0)),".","")),0)</f>
        <v>0</v>
      </c>
      <c r="E83" s="23" t="n">
        <f aca="false">IFERROR(VALUE(SUBSTITUTE(INDEX('Paste BPG'!$A:$Z,MATCH($B83,'Paste BPG'!$C:$C,0),MATCH("BP LS BENDAHARA",'Paste BPG'!$3:$3,0)),".","")),0)</f>
        <v>0</v>
      </c>
      <c r="F83" s="23" t="n">
        <f aca="false">IFERROR(VALUE(SUBSTITUTE(INDEX('Paste BPG'!$A:$Z,MATCH($B83,'Paste BPG'!$C:$C,0),MATCH("BP PAJAK",'Paste BPG'!$3:$3,0)),".","")),0)</f>
        <v>0</v>
      </c>
      <c r="G83" s="23" t="n">
        <f aca="false">IFERROR(VALUE(SUBSTITUTE(INDEX('Paste BPG'!$A:$Z,MATCH($B83,'Paste BPG'!$C:$C,0),MATCH("BP HIBAH",'Paste BPG'!$3:$3,0)),".","")),0)</f>
        <v>0</v>
      </c>
      <c r="H83" s="23" t="n">
        <f aca="false">IFERROR(VALUE(SUBSTITUTE(INDEX('Paste BPG'!$A:$Z,MATCH($B83,'Paste BPG'!$C:$C,0),MATCH("BP LAIN-LAIN",'Paste BPG'!$3:$3,0)),".","")),0)</f>
        <v>0</v>
      </c>
      <c r="I83" s="24" t="n">
        <f aca="false">D83+E83+F83+G83+H83</f>
        <v>0</v>
      </c>
      <c r="J83" s="23" t="n">
        <f aca="false">D83</f>
        <v>0</v>
      </c>
      <c r="K83" s="23" t="n">
        <f aca="false">IFERROR(VALUE(SUBSTITUTE(INDEX('Paste BPG'!$A:$Z,MATCH($B83,'Paste BPG'!$C:$C,0),MATCH("KUITANSI",'Paste BPG'!$3:$3,0)),".","")),0)</f>
        <v>0</v>
      </c>
      <c r="L83" s="24" t="n">
        <f aca="false">J83+K83</f>
        <v>0</v>
      </c>
    </row>
    <row r="84" customFormat="false" ht="15.75" hidden="false" customHeight="true" outlineLevel="0" collapsed="false">
      <c r="A84" s="19" t="n">
        <v>75</v>
      </c>
      <c r="B84" s="20" t="s">
        <v>177</v>
      </c>
      <c r="C84" s="21" t="s">
        <v>178</v>
      </c>
      <c r="D84" s="25" t="n">
        <f aca="false">IFERROR(VALUE(SUBSTITUTE(INDEX('Paste BPG'!$A:$Z,MATCH($B84,'Paste BPG'!$C:$C,0),MATCH("BP UP/TUP",'Paste BPG'!$3:$3,0)),".","")),0)</f>
        <v>0</v>
      </c>
      <c r="E84" s="23" t="n">
        <f aca="false">IFERROR(VALUE(SUBSTITUTE(INDEX('Paste BPG'!$A:$Z,MATCH($B84,'Paste BPG'!$C:$C,0),MATCH("BP LS BENDAHARA",'Paste BPG'!$3:$3,0)),".","")),0)</f>
        <v>0</v>
      </c>
      <c r="F84" s="23" t="n">
        <f aca="false">IFERROR(VALUE(SUBSTITUTE(INDEX('Paste BPG'!$A:$Z,MATCH($B84,'Paste BPG'!$C:$C,0),MATCH("BP PAJAK",'Paste BPG'!$3:$3,0)),".","")),0)</f>
        <v>0</v>
      </c>
      <c r="G84" s="23" t="n">
        <f aca="false">IFERROR(VALUE(SUBSTITUTE(INDEX('Paste BPG'!$A:$Z,MATCH($B84,'Paste BPG'!$C:$C,0),MATCH("BP HIBAH",'Paste BPG'!$3:$3,0)),".","")),0)</f>
        <v>0</v>
      </c>
      <c r="H84" s="23" t="n">
        <f aca="false">IFERROR(VALUE(SUBSTITUTE(INDEX('Paste BPG'!$A:$Z,MATCH($B84,'Paste BPG'!$C:$C,0),MATCH("BP LAIN-LAIN",'Paste BPG'!$3:$3,0)),".","")),0)</f>
        <v>0</v>
      </c>
      <c r="I84" s="24" t="n">
        <f aca="false">D84+E84+F84+G84+H84</f>
        <v>0</v>
      </c>
      <c r="J84" s="23" t="n">
        <f aca="false">D84</f>
        <v>0</v>
      </c>
      <c r="K84" s="23" t="n">
        <f aca="false">IFERROR(VALUE(SUBSTITUTE(INDEX('Paste BPG'!$A:$Z,MATCH($B84,'Paste BPG'!$C:$C,0),MATCH("KUITANSI",'Paste BPG'!$3:$3,0)),".","")),0)</f>
        <v>0</v>
      </c>
      <c r="L84" s="24" t="n">
        <f aca="false">J84+K84</f>
        <v>0</v>
      </c>
    </row>
    <row r="85" customFormat="false" ht="15.75" hidden="false" customHeight="true" outlineLevel="0" collapsed="false">
      <c r="A85" s="19" t="n">
        <v>76</v>
      </c>
      <c r="B85" s="20" t="s">
        <v>179</v>
      </c>
      <c r="C85" s="21" t="s">
        <v>180</v>
      </c>
      <c r="D85" s="25" t="n">
        <f aca="false">IFERROR(VALUE(SUBSTITUTE(INDEX('Paste BPG'!$A:$Z,MATCH($B85,'Paste BPG'!$C:$C,0),MATCH("BP UP/TUP",'Paste BPG'!$3:$3,0)),".","")),0)</f>
        <v>0</v>
      </c>
      <c r="E85" s="23" t="n">
        <f aca="false">IFERROR(VALUE(SUBSTITUTE(INDEX('Paste BPG'!$A:$Z,MATCH($B85,'Paste BPG'!$C:$C,0),MATCH("BP LS BENDAHARA",'Paste BPG'!$3:$3,0)),".","")),0)</f>
        <v>0</v>
      </c>
      <c r="F85" s="23" t="n">
        <f aca="false">IFERROR(VALUE(SUBSTITUTE(INDEX('Paste BPG'!$A:$Z,MATCH($B85,'Paste BPG'!$C:$C,0),MATCH("BP PAJAK",'Paste BPG'!$3:$3,0)),".","")),0)</f>
        <v>0</v>
      </c>
      <c r="G85" s="23" t="n">
        <f aca="false">IFERROR(VALUE(SUBSTITUTE(INDEX('Paste BPG'!$A:$Z,MATCH($B85,'Paste BPG'!$C:$C,0),MATCH("BP HIBAH",'Paste BPG'!$3:$3,0)),".","")),0)</f>
        <v>0</v>
      </c>
      <c r="H85" s="23" t="n">
        <f aca="false">IFERROR(VALUE(SUBSTITUTE(INDEX('Paste BPG'!$A:$Z,MATCH($B85,'Paste BPG'!$C:$C,0),MATCH("BP LAIN-LAIN",'Paste BPG'!$3:$3,0)),".","")),0)</f>
        <v>0</v>
      </c>
      <c r="I85" s="24" t="n">
        <f aca="false">D85+E85+F85+G85+H85</f>
        <v>0</v>
      </c>
      <c r="J85" s="23" t="n">
        <f aca="false">D85</f>
        <v>0</v>
      </c>
      <c r="K85" s="23" t="n">
        <f aca="false">IFERROR(VALUE(SUBSTITUTE(INDEX('Paste BPG'!$A:$Z,MATCH($B85,'Paste BPG'!$C:$C,0),MATCH("KUITANSI",'Paste BPG'!$3:$3,0)),".","")),0)</f>
        <v>0</v>
      </c>
      <c r="L85" s="24" t="n">
        <f aca="false">J85+K85</f>
        <v>0</v>
      </c>
    </row>
    <row r="86" customFormat="false" ht="15.75" hidden="false" customHeight="true" outlineLevel="0" collapsed="false">
      <c r="A86" s="19" t="n">
        <v>77</v>
      </c>
      <c r="B86" s="20" t="s">
        <v>181</v>
      </c>
      <c r="C86" s="21" t="s">
        <v>182</v>
      </c>
      <c r="D86" s="25" t="n">
        <f aca="false">IFERROR(VALUE(SUBSTITUTE(INDEX('Paste BPG'!$A:$Z,MATCH($B86,'Paste BPG'!$C:$C,0),MATCH("BP UP/TUP",'Paste BPG'!$3:$3,0)),".","")),0)</f>
        <v>0</v>
      </c>
      <c r="E86" s="23" t="n">
        <f aca="false">IFERROR(VALUE(SUBSTITUTE(INDEX('Paste BPG'!$A:$Z,MATCH($B86,'Paste BPG'!$C:$C,0),MATCH("BP LS BENDAHARA",'Paste BPG'!$3:$3,0)),".","")),0)</f>
        <v>0</v>
      </c>
      <c r="F86" s="23" t="n">
        <f aca="false">IFERROR(VALUE(SUBSTITUTE(INDEX('Paste BPG'!$A:$Z,MATCH($B86,'Paste BPG'!$C:$C,0),MATCH("BP PAJAK",'Paste BPG'!$3:$3,0)),".","")),0)</f>
        <v>0</v>
      </c>
      <c r="G86" s="23" t="n">
        <f aca="false">IFERROR(VALUE(SUBSTITUTE(INDEX('Paste BPG'!$A:$Z,MATCH($B86,'Paste BPG'!$C:$C,0),MATCH("BP HIBAH",'Paste BPG'!$3:$3,0)),".","")),0)</f>
        <v>0</v>
      </c>
      <c r="H86" s="23" t="n">
        <f aca="false">IFERROR(VALUE(SUBSTITUTE(INDEX('Paste BPG'!$A:$Z,MATCH($B86,'Paste BPG'!$C:$C,0),MATCH("BP LAIN-LAIN",'Paste BPG'!$3:$3,0)),".","")),0)</f>
        <v>0</v>
      </c>
      <c r="I86" s="24" t="n">
        <f aca="false">D86+E86+F86+G86+H86</f>
        <v>0</v>
      </c>
      <c r="J86" s="23" t="n">
        <f aca="false">D86</f>
        <v>0</v>
      </c>
      <c r="K86" s="23" t="n">
        <f aca="false">IFERROR(VALUE(SUBSTITUTE(INDEX('Paste BPG'!$A:$Z,MATCH($B86,'Paste BPG'!$C:$C,0),MATCH("KUITANSI",'Paste BPG'!$3:$3,0)),".","")),0)</f>
        <v>0</v>
      </c>
      <c r="L86" s="24" t="n">
        <f aca="false">J86+K86</f>
        <v>0</v>
      </c>
    </row>
    <row r="87" customFormat="false" ht="15.75" hidden="false" customHeight="true" outlineLevel="0" collapsed="false">
      <c r="A87" s="15"/>
      <c r="B87" s="28" t="s">
        <v>183</v>
      </c>
      <c r="C87" s="17" t="s">
        <v>184</v>
      </c>
      <c r="D87" s="18" t="n">
        <f aca="false">D88+D89+D90</f>
        <v>0</v>
      </c>
      <c r="E87" s="31" t="n">
        <f aca="false">SUM(E88+E89+E90)</f>
        <v>0</v>
      </c>
      <c r="F87" s="31" t="n">
        <f aca="false">SUM(F88+F89+F90)</f>
        <v>0</v>
      </c>
      <c r="G87" s="31" t="n">
        <f aca="false">SUM(G88:G90)</f>
        <v>0</v>
      </c>
      <c r="H87" s="31" t="n">
        <f aca="false">SUM(H88:H90)</f>
        <v>0</v>
      </c>
      <c r="I87" s="18" t="n">
        <f aca="false">D87+E87+F87+G87+H87</f>
        <v>0</v>
      </c>
      <c r="J87" s="18" t="n">
        <f aca="false">J88+J89+J90</f>
        <v>0</v>
      </c>
      <c r="K87" s="18" t="n">
        <f aca="false">K88+K89+K90</f>
        <v>0</v>
      </c>
      <c r="L87" s="18" t="n">
        <f aca="false">J87+K87</f>
        <v>0</v>
      </c>
    </row>
    <row r="88" customFormat="false" ht="28.5" hidden="false" customHeight="true" outlineLevel="0" collapsed="false">
      <c r="A88" s="19" t="n">
        <v>78</v>
      </c>
      <c r="B88" s="20" t="s">
        <v>185</v>
      </c>
      <c r="C88" s="21" t="s">
        <v>186</v>
      </c>
      <c r="D88" s="25" t="n">
        <f aca="false">IFERROR(VALUE(SUBSTITUTE(INDEX('Paste BPG'!$A:$Z,MATCH($B88,'Paste BPG'!$C:$C,0),MATCH("BP UP/TUP",'Paste BPG'!$3:$3,0)),".","")),0)</f>
        <v>0</v>
      </c>
      <c r="E88" s="23" t="n">
        <f aca="false">IFERROR(VALUE(SUBSTITUTE(INDEX('Paste BPG'!$A:$Z,MATCH($B88,'Paste BPG'!$C:$C,0),MATCH("BP LS BENDAHARA",'Paste BPG'!$3:$3,0)),".","")),0)</f>
        <v>0</v>
      </c>
      <c r="F88" s="23" t="n">
        <f aca="false">IFERROR(VALUE(SUBSTITUTE(INDEX('Paste BPG'!$A:$Z,MATCH($B88,'Paste BPG'!$C:$C,0),MATCH("BP PAJAK",'Paste BPG'!$3:$3,0)),".","")),0)</f>
        <v>0</v>
      </c>
      <c r="G88" s="23" t="n">
        <f aca="false">IFERROR(VALUE(SUBSTITUTE(INDEX('Paste BPG'!$A:$Z,MATCH($B88,'Paste BPG'!$C:$C,0),MATCH("BP HIBAH",'Paste BPG'!$3:$3,0)),".","")),0)</f>
        <v>0</v>
      </c>
      <c r="H88" s="23" t="n">
        <f aca="false">IFERROR(VALUE(SUBSTITUTE(INDEX('Paste BPG'!$A:$Z,MATCH($B88,'Paste BPG'!$C:$C,0),MATCH("BP LAIN-LAIN",'Paste BPG'!$3:$3,0)),".","")),0)</f>
        <v>0</v>
      </c>
      <c r="I88" s="24" t="n">
        <f aca="false">D88+E88+F88+G88+H88</f>
        <v>0</v>
      </c>
      <c r="J88" s="23" t="n">
        <f aca="false">D88</f>
        <v>0</v>
      </c>
      <c r="K88" s="23" t="n">
        <f aca="false">IFERROR(VALUE(SUBSTITUTE(INDEX('Paste BPG'!$A:$Z,MATCH($B88,'Paste BPG'!$C:$C,0),MATCH("KUITANSI",'Paste BPG'!$3:$3,0)),".","")),0)</f>
        <v>0</v>
      </c>
      <c r="L88" s="24" t="n">
        <f aca="false">J88+K88</f>
        <v>0</v>
      </c>
    </row>
    <row r="89" customFormat="false" ht="45" hidden="false" customHeight="true" outlineLevel="0" collapsed="false">
      <c r="A89" s="19" t="n">
        <v>79</v>
      </c>
      <c r="B89" s="20" t="s">
        <v>187</v>
      </c>
      <c r="C89" s="21" t="s">
        <v>188</v>
      </c>
      <c r="D89" s="25" t="n">
        <f aca="false">IFERROR(VALUE(SUBSTITUTE(INDEX('Paste BPG'!$A:$Z,MATCH($B89,'Paste BPG'!$C:$C,0),MATCH("BP UP/TUP",'Paste BPG'!$3:$3,0)),".","")),0)</f>
        <v>0</v>
      </c>
      <c r="E89" s="23" t="n">
        <f aca="false">IFERROR(VALUE(SUBSTITUTE(INDEX('Paste BPG'!$A:$Z,MATCH($B89,'Paste BPG'!$C:$C,0),MATCH("BP LS BENDAHARA",'Paste BPG'!$3:$3,0)),".","")),0)</f>
        <v>0</v>
      </c>
      <c r="F89" s="23" t="n">
        <f aca="false">IFERROR(VALUE(SUBSTITUTE(INDEX('Paste BPG'!$A:$Z,MATCH($B89,'Paste BPG'!$C:$C,0),MATCH("BP PAJAK",'Paste BPG'!$3:$3,0)),".","")),0)</f>
        <v>0</v>
      </c>
      <c r="G89" s="23" t="n">
        <f aca="false">IFERROR(VALUE(SUBSTITUTE(INDEX('Paste BPG'!$A:$Z,MATCH($B89,'Paste BPG'!$C:$C,0),MATCH("BP HIBAH",'Paste BPG'!$3:$3,0)),".","")),0)</f>
        <v>0</v>
      </c>
      <c r="H89" s="23" t="n">
        <f aca="false">IFERROR(VALUE(SUBSTITUTE(INDEX('Paste BPG'!$A:$Z,MATCH($B89,'Paste BPG'!$C:$C,0),MATCH("BP LAIN-LAIN",'Paste BPG'!$3:$3,0)),".","")),0)</f>
        <v>0</v>
      </c>
      <c r="I89" s="24" t="n">
        <f aca="false">D89+E89+F89+G89+H89</f>
        <v>0</v>
      </c>
      <c r="J89" s="23" t="n">
        <f aca="false">D89</f>
        <v>0</v>
      </c>
      <c r="K89" s="23" t="n">
        <f aca="false">IFERROR(VALUE(SUBSTITUTE(INDEX('Paste BPG'!$A:$Z,MATCH($B89,'Paste BPG'!$C:$C,0),MATCH("KUITANSI",'Paste BPG'!$3:$3,0)),".","")),0)</f>
        <v>0</v>
      </c>
      <c r="L89" s="24" t="n">
        <f aca="false">J89+K89</f>
        <v>0</v>
      </c>
    </row>
    <row r="90" customFormat="false" ht="28.5" hidden="false" customHeight="true" outlineLevel="0" collapsed="false">
      <c r="A90" s="19" t="n">
        <v>80</v>
      </c>
      <c r="B90" s="20" t="s">
        <v>189</v>
      </c>
      <c r="C90" s="21" t="s">
        <v>190</v>
      </c>
      <c r="D90" s="25" t="n">
        <f aca="false">IFERROR(VALUE(SUBSTITUTE(INDEX('Paste BPG'!$A:$Z,MATCH($B90,'Paste BPG'!$C:$C,0),MATCH("BP UP/TUP",'Paste BPG'!$3:$3,0)),".","")),0)</f>
        <v>0</v>
      </c>
      <c r="E90" s="23" t="n">
        <f aca="false">IFERROR(VALUE(SUBSTITUTE(INDEX('Paste BPG'!$A:$Z,MATCH($B90,'Paste BPG'!$C:$C,0),MATCH("BP LS BENDAHARA",'Paste BPG'!$3:$3,0)),".","")),0)</f>
        <v>0</v>
      </c>
      <c r="F90" s="23" t="n">
        <f aca="false">IFERROR(VALUE(SUBSTITUTE(INDEX('Paste BPG'!$A:$Z,MATCH($B90,'Paste BPG'!$C:$C,0),MATCH("BP PAJAK",'Paste BPG'!$3:$3,0)),".","")),0)</f>
        <v>0</v>
      </c>
      <c r="G90" s="23" t="n">
        <f aca="false">IFERROR(VALUE(SUBSTITUTE(INDEX('Paste BPG'!$A:$Z,MATCH($B90,'Paste BPG'!$C:$C,0),MATCH("BP HIBAH",'Paste BPG'!$3:$3,0)),".","")),0)</f>
        <v>0</v>
      </c>
      <c r="H90" s="23" t="n">
        <f aca="false">IFERROR(VALUE(SUBSTITUTE(INDEX('Paste BPG'!$A:$Z,MATCH($B90,'Paste BPG'!$C:$C,0),MATCH("BP LAIN-LAIN",'Paste BPG'!$3:$3,0)),".","")),0)</f>
        <v>0</v>
      </c>
      <c r="I90" s="24" t="n">
        <f aca="false">D90+E90+F90+G90+H90</f>
        <v>0</v>
      </c>
      <c r="J90" s="23" t="n">
        <f aca="false">D90</f>
        <v>0</v>
      </c>
      <c r="K90" s="23" t="n">
        <f aca="false">IFERROR(VALUE(SUBSTITUTE(INDEX('Paste BPG'!$A:$Z,MATCH($B90,'Paste BPG'!$C:$C,0),MATCH("KUITANSI",'Paste BPG'!$3:$3,0)),".","")),0)</f>
        <v>0</v>
      </c>
      <c r="L90" s="24" t="n">
        <f aca="false">J90+K90</f>
        <v>0</v>
      </c>
    </row>
    <row r="91" customFormat="false" ht="15.75" hidden="false" customHeight="true" outlineLevel="0" collapsed="false">
      <c r="A91" s="15"/>
      <c r="B91" s="28" t="s">
        <v>191</v>
      </c>
      <c r="C91" s="17" t="s">
        <v>192</v>
      </c>
      <c r="D91" s="29" t="n">
        <f aca="false">SUM(D92+D93+D94+D95+D96+D97+D98+D99+D100+D101+D102+D103+D104+D105+D106+D107+D108+D109+D110+D111+D112+D113+D114+D115+D116+D117+D118+D119+D120+D121+D122+D123+D124+D125+D126+D127+D128+D129)</f>
        <v>0</v>
      </c>
      <c r="E91" s="29" t="n">
        <f aca="false">SUM(E92+E93+E94+E95+E96+E97+E98+E99+E100+E101+E102+E103+E104+E105+E106+E107+E108+E109+E110+E111+E112+E113+E114+E115+E116+E117+E118+E119+E120+E121+E122+E123+E124+E125+E126+E127+E128+E129)</f>
        <v>0</v>
      </c>
      <c r="F91" s="29" t="n">
        <f aca="false">SUM(F92+F93+F94+F95+F96+F97+F98+F99+F100+F101+F102+F103+F104+F105+F106+F107+F108+F109+F110+F111+F112+F113+F114+F115+F116+F117+F118+F119+F120+F121+F122+F123+F124+F125+F126+F127+F128+F129)</f>
        <v>0</v>
      </c>
      <c r="G91" s="29" t="n">
        <f aca="false">SUM(G92+G93+G94+G95+G96+G97+G98+G99+G100+G101+G102+G103+G104+G105+G106+G107+G108+G109+G110+G111+G112+G113+G114+G115+G116+G117+G118+G119+G120+G121+G122+G123+G124+G125+G126+G127+G128+G129)</f>
        <v>0</v>
      </c>
      <c r="H91" s="29" t="n">
        <f aca="false">SUM(H92+H93+H94+H95+H96+H97+H98+H99+H100+H101+H102+H103+H104+H105+H106+H107+H108+H109+H110+H111+H112+H113+H114+H115+H116+H117+H118+H119+H120+H121+H122+H123+H124+H125+H126+H127+H128+H129)</f>
        <v>0</v>
      </c>
      <c r="I91" s="18" t="n">
        <f aca="false">D91+E91+F91+G91+H91</f>
        <v>0</v>
      </c>
      <c r="J91" s="29" t="n">
        <f aca="false">SUM(J92+J93+J94+J95+J96+J97+J98+J99+J100+J101+J102+J103+J104+J105+J106+J107+J108+J109+J110+J111+J112+J113+J114+J115+J116+J117+J118+J119+J120+J121+J122+J123+J124+J125+J126+J127+J128+J129)</f>
        <v>0</v>
      </c>
      <c r="K91" s="29" t="n">
        <f aca="false">SUM(K92+K93+K94+K95+K96+K97+K98+K99+K100+K101+K102+K103+K104+K105+K106+K107+K108+K109+K110+K111+K112+K113+K114+K115+K116+K117+K118+K119+K120+K121+K122+K123+K124+K125+K126+K127+K128+K129)</f>
        <v>0</v>
      </c>
      <c r="L91" s="18" t="n">
        <f aca="false">J91+K91</f>
        <v>0</v>
      </c>
    </row>
    <row r="92" customFormat="false" ht="27.75" hidden="false" customHeight="true" outlineLevel="0" collapsed="false">
      <c r="A92" s="19" t="n">
        <v>81</v>
      </c>
      <c r="B92" s="20" t="s">
        <v>193</v>
      </c>
      <c r="C92" s="21" t="s">
        <v>194</v>
      </c>
      <c r="D92" s="25" t="n">
        <f aca="false">IFERROR(VALUE(SUBSTITUTE(INDEX('Paste BPG'!$A:$Z,MATCH($B92,'Paste BPG'!$C:$C,0),MATCH("BP UP/TUP",'Paste BPG'!$3:$3,0)),".","")),0)</f>
        <v>0</v>
      </c>
      <c r="E92" s="23" t="n">
        <f aca="false">IFERROR(VALUE(SUBSTITUTE(INDEX('Paste BPG'!$A:$Z,MATCH($B92,'Paste BPG'!$C:$C,0),MATCH("BP LS BENDAHARA",'Paste BPG'!$3:$3,0)),".","")),0)</f>
        <v>0</v>
      </c>
      <c r="F92" s="23" t="n">
        <f aca="false">IFERROR(VALUE(SUBSTITUTE(INDEX('Paste BPG'!$A:$Z,MATCH($B92,'Paste BPG'!$C:$C,0),MATCH("BP PAJAK",'Paste BPG'!$3:$3,0)),".","")),0)</f>
        <v>0</v>
      </c>
      <c r="G92" s="23" t="n">
        <f aca="false">IFERROR(VALUE(SUBSTITUTE(INDEX('Paste BPG'!$A:$Z,MATCH($B92,'Paste BPG'!$C:$C,0),MATCH("BP HIBAH",'Paste BPG'!$3:$3,0)),".","")),0)</f>
        <v>0</v>
      </c>
      <c r="H92" s="23" t="n">
        <f aca="false">IFERROR(VALUE(SUBSTITUTE(INDEX('Paste BPG'!$A:$Z,MATCH($B92,'Paste BPG'!$C:$C,0),MATCH("BP LAIN-LAIN",'Paste BPG'!$3:$3,0)),".","")),0)</f>
        <v>0</v>
      </c>
      <c r="I92" s="24" t="n">
        <f aca="false">D92+E92+F92+G92+H92</f>
        <v>0</v>
      </c>
      <c r="J92" s="23" t="n">
        <f aca="false">D92</f>
        <v>0</v>
      </c>
      <c r="K92" s="23" t="n">
        <f aca="false">IFERROR(VALUE(SUBSTITUTE(INDEX('Paste BPG'!$A:$Z,MATCH($B92,'Paste BPG'!$C:$C,0),MATCH("KUITANSI",'Paste BPG'!$3:$3,0)),".","")),0)</f>
        <v>0</v>
      </c>
      <c r="L92" s="24" t="n">
        <f aca="false">J92+K92</f>
        <v>0</v>
      </c>
    </row>
    <row r="93" customFormat="false" ht="27.75" hidden="false" customHeight="true" outlineLevel="0" collapsed="false">
      <c r="A93" s="19" t="n">
        <v>82</v>
      </c>
      <c r="B93" s="20" t="s">
        <v>195</v>
      </c>
      <c r="C93" s="21" t="s">
        <v>196</v>
      </c>
      <c r="D93" s="25" t="n">
        <f aca="false">IFERROR(VALUE(SUBSTITUTE(INDEX('Paste BPG'!$A:$Z,MATCH($B93,'Paste BPG'!$C:$C,0),MATCH("BP UP/TUP",'Paste BPG'!$3:$3,0)),".","")),0)</f>
        <v>0</v>
      </c>
      <c r="E93" s="23" t="n">
        <f aca="false">IFERROR(VALUE(SUBSTITUTE(INDEX('Paste BPG'!$A:$Z,MATCH($B93,'Paste BPG'!$C:$C,0),MATCH("BP LS BENDAHARA",'Paste BPG'!$3:$3,0)),".","")),0)</f>
        <v>0</v>
      </c>
      <c r="F93" s="23" t="n">
        <f aca="false">IFERROR(VALUE(SUBSTITUTE(INDEX('Paste BPG'!$A:$Z,MATCH($B93,'Paste BPG'!$C:$C,0),MATCH("BP PAJAK",'Paste BPG'!$3:$3,0)),".","")),0)</f>
        <v>0</v>
      </c>
      <c r="G93" s="23" t="n">
        <f aca="false">IFERROR(VALUE(SUBSTITUTE(INDEX('Paste BPG'!$A:$Z,MATCH($B93,'Paste BPG'!$C:$C,0),MATCH("BP HIBAH",'Paste BPG'!$3:$3,0)),".","")),0)</f>
        <v>0</v>
      </c>
      <c r="H93" s="23" t="n">
        <f aca="false">IFERROR(VALUE(SUBSTITUTE(INDEX('Paste BPG'!$A:$Z,MATCH($B93,'Paste BPG'!$C:$C,0),MATCH("BP LAIN-LAIN",'Paste BPG'!$3:$3,0)),".","")),0)</f>
        <v>0</v>
      </c>
      <c r="I93" s="24" t="n">
        <f aca="false">D93+E93+F93+G93+H93</f>
        <v>0</v>
      </c>
      <c r="J93" s="23" t="n">
        <f aca="false">D93</f>
        <v>0</v>
      </c>
      <c r="K93" s="23" t="n">
        <f aca="false">IFERROR(VALUE(SUBSTITUTE(INDEX('Paste BPG'!$A:$Z,MATCH($B93,'Paste BPG'!$C:$C,0),MATCH("KUITANSI",'Paste BPG'!$3:$3,0)),".","")),0)</f>
        <v>0</v>
      </c>
      <c r="L93" s="24" t="n">
        <f aca="false">J93+K93</f>
        <v>0</v>
      </c>
    </row>
    <row r="94" customFormat="false" ht="27.75" hidden="false" customHeight="true" outlineLevel="0" collapsed="false">
      <c r="A94" s="19" t="n">
        <v>83</v>
      </c>
      <c r="B94" s="20" t="s">
        <v>197</v>
      </c>
      <c r="C94" s="21" t="s">
        <v>198</v>
      </c>
      <c r="D94" s="23" t="n">
        <f aca="false">IFERROR(VALUE(SUBSTITUTE(INDEX('Paste BPG'!$A:$Z,MATCH($B94,'Paste BPG'!$C:$C,0),MATCH("BP UP/TUP",'Paste BPG'!$3:$3,0)),".","")),0)</f>
        <v>0</v>
      </c>
      <c r="E94" s="23" t="n">
        <f aca="false">IFERROR(VALUE(SUBSTITUTE(INDEX('Paste BPG'!$A:$Z,MATCH($B94,'Paste BPG'!$C:$C,0),MATCH("BP LS BENDAHARA",'Paste BPG'!$3:$3,0)),".","")),0)</f>
        <v>0</v>
      </c>
      <c r="F94" s="23" t="n">
        <f aca="false">IFERROR(VALUE(SUBSTITUTE(INDEX('Paste BPG'!$A:$Z,MATCH($B94,'Paste BPG'!$C:$C,0),MATCH("BP PAJAK",'Paste BPG'!$3:$3,0)),".","")),0)</f>
        <v>0</v>
      </c>
      <c r="G94" s="23" t="n">
        <f aca="false">IFERROR(VALUE(SUBSTITUTE(INDEX('Paste BPG'!$A:$Z,MATCH($B94,'Paste BPG'!$C:$C,0),MATCH("BP HIBAH",'Paste BPG'!$3:$3,0)),".","")),0)</f>
        <v>0</v>
      </c>
      <c r="H94" s="23" t="n">
        <f aca="false">IFERROR(VALUE(SUBSTITUTE(INDEX('Paste BPG'!$A:$Z,MATCH($B94,'Paste BPG'!$C:$C,0),MATCH("BP LAIN-LAIN",'Paste BPG'!$3:$3,0)),".","")),0)</f>
        <v>0</v>
      </c>
      <c r="I94" s="24" t="n">
        <f aca="false">D94+E94+F94+G94+H94</f>
        <v>0</v>
      </c>
      <c r="J94" s="23" t="n">
        <f aca="false">D94</f>
        <v>0</v>
      </c>
      <c r="K94" s="23" t="n">
        <f aca="false">IFERROR(VALUE(SUBSTITUTE(INDEX('Paste BPG'!$A:$Z,MATCH($B94,'Paste BPG'!$C:$C,0),MATCH("KUITANSI",'Paste BPG'!$3:$3,0)),".","")),0)</f>
        <v>0</v>
      </c>
      <c r="L94" s="24" t="n">
        <f aca="false">J94+K94</f>
        <v>0</v>
      </c>
    </row>
    <row r="95" customFormat="false" ht="27.75" hidden="false" customHeight="true" outlineLevel="0" collapsed="false">
      <c r="A95" s="19" t="n">
        <v>84</v>
      </c>
      <c r="B95" s="20" t="s">
        <v>199</v>
      </c>
      <c r="C95" s="21" t="s">
        <v>200</v>
      </c>
      <c r="D95" s="23" t="n">
        <f aca="false">IFERROR(VALUE(SUBSTITUTE(INDEX('Paste BPG'!$A:$Z,MATCH($B95,'Paste BPG'!$C:$C,0),MATCH("BP UP/TUP",'Paste BPG'!$3:$3,0)),".","")),0)</f>
        <v>0</v>
      </c>
      <c r="E95" s="23" t="n">
        <f aca="false">IFERROR(VALUE(SUBSTITUTE(INDEX('Paste BPG'!$A:$Z,MATCH($B95,'Paste BPG'!$C:$C,0),MATCH("BP LS BENDAHARA",'Paste BPG'!$3:$3,0)),".","")),0)</f>
        <v>0</v>
      </c>
      <c r="F95" s="23" t="n">
        <f aca="false">IFERROR(VALUE(SUBSTITUTE(INDEX('Paste BPG'!$A:$Z,MATCH($B95,'Paste BPG'!$C:$C,0),MATCH("BP PAJAK",'Paste BPG'!$3:$3,0)),".","")),0)</f>
        <v>0</v>
      </c>
      <c r="G95" s="23" t="n">
        <f aca="false">IFERROR(VALUE(SUBSTITUTE(INDEX('Paste BPG'!$A:$Z,MATCH($B95,'Paste BPG'!$C:$C,0),MATCH("BP HIBAH",'Paste BPG'!$3:$3,0)),".","")),0)</f>
        <v>0</v>
      </c>
      <c r="H95" s="23" t="n">
        <f aca="false">IFERROR(VALUE(SUBSTITUTE(INDEX('Paste BPG'!$A:$Z,MATCH($B95,'Paste BPG'!$C:$C,0),MATCH("BP LAIN-LAIN",'Paste BPG'!$3:$3,0)),".","")),0)</f>
        <v>0</v>
      </c>
      <c r="I95" s="24" t="n">
        <f aca="false">D95+E95+F95+G95+H95</f>
        <v>0</v>
      </c>
      <c r="J95" s="23" t="n">
        <f aca="false">D95</f>
        <v>0</v>
      </c>
      <c r="K95" s="23" t="n">
        <f aca="false">IFERROR(VALUE(SUBSTITUTE(INDEX('Paste BPG'!$A:$Z,MATCH($B95,'Paste BPG'!$C:$C,0),MATCH("KUITANSI",'Paste BPG'!$3:$3,0)),".","")),0)</f>
        <v>0</v>
      </c>
      <c r="L95" s="24" t="n">
        <f aca="false">J95+K95</f>
        <v>0</v>
      </c>
    </row>
    <row r="96" customFormat="false" ht="15.75" hidden="false" customHeight="true" outlineLevel="0" collapsed="false">
      <c r="A96" s="19" t="n">
        <v>85</v>
      </c>
      <c r="B96" s="20" t="s">
        <v>201</v>
      </c>
      <c r="C96" s="21" t="s">
        <v>202</v>
      </c>
      <c r="D96" s="23" t="n">
        <f aca="false">IFERROR(VALUE(SUBSTITUTE(INDEX('Paste BPG'!$A:$Z,MATCH($B96,'Paste BPG'!$C:$C,0),MATCH("BP UP/TUP",'Paste BPG'!$3:$3,0)),".","")),0)</f>
        <v>0</v>
      </c>
      <c r="E96" s="23" t="n">
        <f aca="false">IFERROR(VALUE(SUBSTITUTE(INDEX('Paste BPG'!$A:$Z,MATCH($B96,'Paste BPG'!$C:$C,0),MATCH("BP LS BENDAHARA",'Paste BPG'!$3:$3,0)),".","")),0)</f>
        <v>0</v>
      </c>
      <c r="F96" s="23" t="n">
        <f aca="false">IFERROR(VALUE(SUBSTITUTE(INDEX('Paste BPG'!$A:$Z,MATCH($B96,'Paste BPG'!$C:$C,0),MATCH("BP PAJAK",'Paste BPG'!$3:$3,0)),".","")),0)</f>
        <v>0</v>
      </c>
      <c r="G96" s="23" t="n">
        <f aca="false">IFERROR(VALUE(SUBSTITUTE(INDEX('Paste BPG'!$A:$Z,MATCH($B96,'Paste BPG'!$C:$C,0),MATCH("BP HIBAH",'Paste BPG'!$3:$3,0)),".","")),0)</f>
        <v>0</v>
      </c>
      <c r="H96" s="23" t="n">
        <f aca="false">IFERROR(VALUE(SUBSTITUTE(INDEX('Paste BPG'!$A:$Z,MATCH($B96,'Paste BPG'!$C:$C,0),MATCH("BP LAIN-LAIN",'Paste BPG'!$3:$3,0)),".","")),0)</f>
        <v>0</v>
      </c>
      <c r="I96" s="24" t="n">
        <f aca="false">D96+E96+F96+G96+H96</f>
        <v>0</v>
      </c>
      <c r="J96" s="23" t="n">
        <f aca="false">D96</f>
        <v>0</v>
      </c>
      <c r="K96" s="23" t="n">
        <f aca="false">IFERROR(VALUE(SUBSTITUTE(INDEX('Paste BPG'!$A:$Z,MATCH($B96,'Paste BPG'!$C:$C,0),MATCH("KUITANSI",'Paste BPG'!$3:$3,0)),".","")),0)</f>
        <v>0</v>
      </c>
      <c r="L96" s="24" t="n">
        <f aca="false">J96+K96</f>
        <v>0</v>
      </c>
    </row>
    <row r="97" customFormat="false" ht="15.75" hidden="false" customHeight="true" outlineLevel="0" collapsed="false">
      <c r="A97" s="19" t="n">
        <v>86</v>
      </c>
      <c r="B97" s="20" t="s">
        <v>203</v>
      </c>
      <c r="C97" s="21" t="s">
        <v>202</v>
      </c>
      <c r="D97" s="23" t="n">
        <f aca="false">IFERROR(VALUE(SUBSTITUTE(INDEX('Paste BPG'!$A:$Z,MATCH($B97,'Paste BPG'!$C:$C,0),MATCH("BP UP/TUP",'Paste BPG'!$3:$3,0)),".","")),0)</f>
        <v>0</v>
      </c>
      <c r="E97" s="23" t="n">
        <f aca="false">IFERROR(VALUE(SUBSTITUTE(INDEX('Paste BPG'!$A:$Z,MATCH($B97,'Paste BPG'!$C:$C,0),MATCH("BP LS BENDAHARA",'Paste BPG'!$3:$3,0)),".","")),0)</f>
        <v>0</v>
      </c>
      <c r="F97" s="23" t="n">
        <f aca="false">IFERROR(VALUE(SUBSTITUTE(INDEX('Paste BPG'!$A:$Z,MATCH($B97,'Paste BPG'!$C:$C,0),MATCH("BP PAJAK",'Paste BPG'!$3:$3,0)),".","")),0)</f>
        <v>0</v>
      </c>
      <c r="G97" s="23" t="n">
        <f aca="false">IFERROR(VALUE(SUBSTITUTE(INDEX('Paste BPG'!$A:$Z,MATCH($B97,'Paste BPG'!$C:$C,0),MATCH("BP HIBAH",'Paste BPG'!$3:$3,0)),".","")),0)</f>
        <v>0</v>
      </c>
      <c r="H97" s="23" t="n">
        <f aca="false">IFERROR(VALUE(SUBSTITUTE(INDEX('Paste BPG'!$A:$Z,MATCH($B97,'Paste BPG'!$C:$C,0),MATCH("BP LAIN-LAIN",'Paste BPG'!$3:$3,0)),".","")),0)</f>
        <v>0</v>
      </c>
      <c r="I97" s="24" t="n">
        <f aca="false">D97+E97+F97+G97+H97</f>
        <v>0</v>
      </c>
      <c r="J97" s="23" t="n">
        <f aca="false">D97</f>
        <v>0</v>
      </c>
      <c r="K97" s="23" t="n">
        <f aca="false">IFERROR(VALUE(SUBSTITUTE(INDEX('Paste BPG'!$A:$Z,MATCH($B97,'Paste BPG'!$C:$C,0),MATCH("KUITANSI",'Paste BPG'!$3:$3,0)),".","")),0)</f>
        <v>0</v>
      </c>
      <c r="L97" s="24" t="n">
        <f aca="false">J97+K97</f>
        <v>0</v>
      </c>
    </row>
    <row r="98" customFormat="false" ht="15.75" hidden="false" customHeight="true" outlineLevel="0" collapsed="false">
      <c r="A98" s="19" t="n">
        <v>87</v>
      </c>
      <c r="B98" s="20" t="s">
        <v>204</v>
      </c>
      <c r="C98" s="21" t="s">
        <v>202</v>
      </c>
      <c r="D98" s="23" t="n">
        <f aca="false">IFERROR(VALUE(SUBSTITUTE(INDEX('Paste BPG'!$A:$Z,MATCH($B98,'Paste BPG'!$C:$C,0),MATCH("BP UP/TUP",'Paste BPG'!$3:$3,0)),".","")),0)</f>
        <v>0</v>
      </c>
      <c r="E98" s="23" t="n">
        <f aca="false">IFERROR(VALUE(SUBSTITUTE(INDEX('Paste BPG'!$A:$Z,MATCH($B98,'Paste BPG'!$C:$C,0),MATCH("BP LS BENDAHARA",'Paste BPG'!$3:$3,0)),".","")),0)</f>
        <v>0</v>
      </c>
      <c r="F98" s="23" t="n">
        <f aca="false">IFERROR(VALUE(SUBSTITUTE(INDEX('Paste BPG'!$A:$Z,MATCH($B98,'Paste BPG'!$C:$C,0),MATCH("BP PAJAK",'Paste BPG'!$3:$3,0)),".","")),0)</f>
        <v>0</v>
      </c>
      <c r="G98" s="23" t="n">
        <f aca="false">IFERROR(VALUE(SUBSTITUTE(INDEX('Paste BPG'!$A:$Z,MATCH($B98,'Paste BPG'!$C:$C,0),MATCH("BP HIBAH",'Paste BPG'!$3:$3,0)),".","")),0)</f>
        <v>0</v>
      </c>
      <c r="H98" s="23" t="n">
        <f aca="false">IFERROR(VALUE(SUBSTITUTE(INDEX('Paste BPG'!$A:$Z,MATCH($B98,'Paste BPG'!$C:$C,0),MATCH("BP LAIN-LAIN",'Paste BPG'!$3:$3,0)),".","")),0)</f>
        <v>0</v>
      </c>
      <c r="I98" s="24" t="n">
        <f aca="false">D98+E98+F98+G98+H98</f>
        <v>0</v>
      </c>
      <c r="J98" s="23" t="n">
        <f aca="false">D98</f>
        <v>0</v>
      </c>
      <c r="K98" s="23" t="n">
        <f aca="false">IFERROR(VALUE(SUBSTITUTE(INDEX('Paste BPG'!$A:$Z,MATCH($B98,'Paste BPG'!$C:$C,0),MATCH("KUITANSI",'Paste BPG'!$3:$3,0)),".","")),0)</f>
        <v>0</v>
      </c>
      <c r="L98" s="24" t="n">
        <f aca="false">J98+K98</f>
        <v>0</v>
      </c>
    </row>
    <row r="99" customFormat="false" ht="15.75" hidden="false" customHeight="true" outlineLevel="0" collapsed="false">
      <c r="A99" s="19" t="n">
        <v>88</v>
      </c>
      <c r="B99" s="20" t="s">
        <v>205</v>
      </c>
      <c r="C99" s="21" t="s">
        <v>202</v>
      </c>
      <c r="D99" s="23" t="n">
        <f aca="false">IFERROR(VALUE(SUBSTITUTE(INDEX('Paste BPG'!$A:$Z,MATCH($B99,'Paste BPG'!$C:$C,0),MATCH("BP UP/TUP",'Paste BPG'!$3:$3,0)),".","")),0)</f>
        <v>0</v>
      </c>
      <c r="E99" s="23" t="n">
        <f aca="false">IFERROR(VALUE(SUBSTITUTE(INDEX('Paste BPG'!$A:$Z,MATCH($B99,'Paste BPG'!$C:$C,0),MATCH("BP LS BENDAHARA",'Paste BPG'!$3:$3,0)),".","")),0)</f>
        <v>0</v>
      </c>
      <c r="F99" s="23" t="n">
        <f aca="false">IFERROR(VALUE(SUBSTITUTE(INDEX('Paste BPG'!$A:$Z,MATCH($B99,'Paste BPG'!$C:$C,0),MATCH("BP PAJAK",'Paste BPG'!$3:$3,0)),".","")),0)</f>
        <v>0</v>
      </c>
      <c r="G99" s="23" t="n">
        <f aca="false">IFERROR(VALUE(SUBSTITUTE(INDEX('Paste BPG'!$A:$Z,MATCH($B99,'Paste BPG'!$C:$C,0),MATCH("BP HIBAH",'Paste BPG'!$3:$3,0)),".","")),0)</f>
        <v>0</v>
      </c>
      <c r="H99" s="23" t="n">
        <f aca="false">IFERROR(VALUE(SUBSTITUTE(INDEX('Paste BPG'!$A:$Z,MATCH($B99,'Paste BPG'!$C:$C,0),MATCH("BP LAIN-LAIN",'Paste BPG'!$3:$3,0)),".","")),0)</f>
        <v>0</v>
      </c>
      <c r="I99" s="24" t="n">
        <f aca="false">D99+E99+F99+G99+H99</f>
        <v>0</v>
      </c>
      <c r="J99" s="23" t="n">
        <f aca="false">D99</f>
        <v>0</v>
      </c>
      <c r="K99" s="23" t="n">
        <f aca="false">IFERROR(VALUE(SUBSTITUTE(INDEX('Paste BPG'!$A:$Z,MATCH($B99,'Paste BPG'!$C:$C,0),MATCH("KUITANSI",'Paste BPG'!$3:$3,0)),".","")),0)</f>
        <v>0</v>
      </c>
      <c r="L99" s="24" t="n">
        <f aca="false">J99+K99</f>
        <v>0</v>
      </c>
    </row>
    <row r="100" customFormat="false" ht="15.75" hidden="false" customHeight="true" outlineLevel="0" collapsed="false">
      <c r="A100" s="19" t="n">
        <v>89</v>
      </c>
      <c r="B100" s="20" t="s">
        <v>206</v>
      </c>
      <c r="C100" s="21" t="s">
        <v>202</v>
      </c>
      <c r="D100" s="23" t="n">
        <f aca="false">IFERROR(VALUE(SUBSTITUTE(INDEX('Paste BPG'!$A:$Z,MATCH($B100,'Paste BPG'!$C:$C,0),MATCH("BP UP/TUP",'Paste BPG'!$3:$3,0)),".","")),0)</f>
        <v>0</v>
      </c>
      <c r="E100" s="23" t="n">
        <f aca="false">IFERROR(VALUE(SUBSTITUTE(INDEX('Paste BPG'!$A:$Z,MATCH($B100,'Paste BPG'!$C:$C,0),MATCH("BP LS BENDAHARA",'Paste BPG'!$3:$3,0)),".","")),0)</f>
        <v>0</v>
      </c>
      <c r="F100" s="23" t="n">
        <f aca="false">IFERROR(VALUE(SUBSTITUTE(INDEX('Paste BPG'!$A:$Z,MATCH($B100,'Paste BPG'!$C:$C,0),MATCH("BP PAJAK",'Paste BPG'!$3:$3,0)),".","")),0)</f>
        <v>0</v>
      </c>
      <c r="G100" s="23" t="n">
        <f aca="false">IFERROR(VALUE(SUBSTITUTE(INDEX('Paste BPG'!$A:$Z,MATCH($B100,'Paste BPG'!$C:$C,0),MATCH("BP HIBAH",'Paste BPG'!$3:$3,0)),".","")),0)</f>
        <v>0</v>
      </c>
      <c r="H100" s="23" t="n">
        <f aca="false">IFERROR(VALUE(SUBSTITUTE(INDEX('Paste BPG'!$A:$Z,MATCH($B100,'Paste BPG'!$C:$C,0),MATCH("BP LAIN-LAIN",'Paste BPG'!$3:$3,0)),".","")),0)</f>
        <v>0</v>
      </c>
      <c r="I100" s="24" t="n">
        <f aca="false">D100+E100+F100+G100+H100</f>
        <v>0</v>
      </c>
      <c r="J100" s="23" t="n">
        <f aca="false">D100</f>
        <v>0</v>
      </c>
      <c r="K100" s="23" t="n">
        <f aca="false">IFERROR(VALUE(SUBSTITUTE(INDEX('Paste BPG'!$A:$Z,MATCH($B100,'Paste BPG'!$C:$C,0),MATCH("KUITANSI",'Paste BPG'!$3:$3,0)),".","")),0)</f>
        <v>0</v>
      </c>
      <c r="L100" s="24" t="n">
        <f aca="false">J100+K100</f>
        <v>0</v>
      </c>
    </row>
    <row r="101" customFormat="false" ht="15.75" hidden="false" customHeight="true" outlineLevel="0" collapsed="false">
      <c r="A101" s="19" t="n">
        <v>90</v>
      </c>
      <c r="B101" s="20" t="s">
        <v>207</v>
      </c>
      <c r="C101" s="30" t="s">
        <v>208</v>
      </c>
      <c r="D101" s="23" t="n">
        <f aca="false">IFERROR(VALUE(SUBSTITUTE(INDEX('Paste BPG'!$A:$Z,MATCH($B101,'Paste BPG'!$C:$C,0),MATCH("BP UP/TUP",'Paste BPG'!$3:$3,0)),".","")),0)</f>
        <v>0</v>
      </c>
      <c r="E101" s="23" t="n">
        <f aca="false">IFERROR(VALUE(SUBSTITUTE(INDEX('Paste BPG'!$A:$Z,MATCH($B101,'Paste BPG'!$C:$C,0),MATCH("BP LS BENDAHARA",'Paste BPG'!$3:$3,0)),".","")),0)</f>
        <v>0</v>
      </c>
      <c r="F101" s="23" t="n">
        <f aca="false">IFERROR(VALUE(SUBSTITUTE(INDEX('Paste BPG'!$A:$Z,MATCH($B101,'Paste BPG'!$C:$C,0),MATCH("BP PAJAK",'Paste BPG'!$3:$3,0)),".","")),0)</f>
        <v>0</v>
      </c>
      <c r="G101" s="23" t="n">
        <f aca="false">IFERROR(VALUE(SUBSTITUTE(INDEX('Paste BPG'!$A:$Z,MATCH($B101,'Paste BPG'!$C:$C,0),MATCH("BP HIBAH",'Paste BPG'!$3:$3,0)),".","")),0)</f>
        <v>0</v>
      </c>
      <c r="H101" s="23" t="n">
        <f aca="false">IFERROR(VALUE(SUBSTITUTE(INDEX('Paste BPG'!$A:$Z,MATCH($B101,'Paste BPG'!$C:$C,0),MATCH("BP LAIN-LAIN",'Paste BPG'!$3:$3,0)),".","")),0)</f>
        <v>0</v>
      </c>
      <c r="I101" s="24" t="n">
        <f aca="false">D101+E101+F101+G101+H101</f>
        <v>0</v>
      </c>
      <c r="J101" s="23" t="n">
        <f aca="false">D101</f>
        <v>0</v>
      </c>
      <c r="K101" s="23" t="n">
        <f aca="false">IFERROR(VALUE(SUBSTITUTE(INDEX('Paste BPG'!$A:$Z,MATCH($B101,'Paste BPG'!$C:$C,0),MATCH("KUITANSI",'Paste BPG'!$3:$3,0)),".","")),0)</f>
        <v>0</v>
      </c>
      <c r="L101" s="24" t="n">
        <f aca="false">J101+K101</f>
        <v>0</v>
      </c>
    </row>
    <row r="102" customFormat="false" ht="15.75" hidden="false" customHeight="true" outlineLevel="0" collapsed="false">
      <c r="A102" s="19" t="n">
        <v>91</v>
      </c>
      <c r="B102" s="20" t="s">
        <v>209</v>
      </c>
      <c r="C102" s="30" t="s">
        <v>208</v>
      </c>
      <c r="D102" s="23" t="n">
        <f aca="false">IFERROR(VALUE(SUBSTITUTE(INDEX('Paste BPG'!$A:$Z,MATCH($B102,'Paste BPG'!$C:$C,0),MATCH("BP UP/TUP",'Paste BPG'!$3:$3,0)),".","")),0)</f>
        <v>0</v>
      </c>
      <c r="E102" s="23" t="n">
        <f aca="false">IFERROR(VALUE(SUBSTITUTE(INDEX('Paste BPG'!$A:$Z,MATCH($B102,'Paste BPG'!$C:$C,0),MATCH("BP LS BENDAHARA",'Paste BPG'!$3:$3,0)),".","")),0)</f>
        <v>0</v>
      </c>
      <c r="F102" s="23" t="n">
        <f aca="false">IFERROR(VALUE(SUBSTITUTE(INDEX('Paste BPG'!$A:$Z,MATCH($B102,'Paste BPG'!$C:$C,0),MATCH("BP PAJAK",'Paste BPG'!$3:$3,0)),".","")),0)</f>
        <v>0</v>
      </c>
      <c r="G102" s="23" t="n">
        <f aca="false">IFERROR(VALUE(SUBSTITUTE(INDEX('Paste BPG'!$A:$Z,MATCH($B102,'Paste BPG'!$C:$C,0),MATCH("BP HIBAH",'Paste BPG'!$3:$3,0)),".","")),0)</f>
        <v>0</v>
      </c>
      <c r="H102" s="23" t="n">
        <f aca="false">IFERROR(VALUE(SUBSTITUTE(INDEX('Paste BPG'!$A:$Z,MATCH($B102,'Paste BPG'!$C:$C,0),MATCH("BP LAIN-LAIN",'Paste BPG'!$3:$3,0)),".","")),0)</f>
        <v>0</v>
      </c>
      <c r="I102" s="24" t="n">
        <f aca="false">D102+E102+F102+G102+H102</f>
        <v>0</v>
      </c>
      <c r="J102" s="23" t="n">
        <f aca="false">D102</f>
        <v>0</v>
      </c>
      <c r="K102" s="23" t="n">
        <f aca="false">IFERROR(VALUE(SUBSTITUTE(INDEX('Paste BPG'!$A:$Z,MATCH($B102,'Paste BPG'!$C:$C,0),MATCH("KUITANSI",'Paste BPG'!$3:$3,0)),".","")),0)</f>
        <v>0</v>
      </c>
      <c r="L102" s="24" t="n">
        <f aca="false">J102+K102</f>
        <v>0</v>
      </c>
    </row>
    <row r="103" customFormat="false" ht="15.75" hidden="false" customHeight="true" outlineLevel="0" collapsed="false">
      <c r="A103" s="19" t="n">
        <v>92</v>
      </c>
      <c r="B103" s="20" t="s">
        <v>210</v>
      </c>
      <c r="C103" s="30" t="s">
        <v>208</v>
      </c>
      <c r="D103" s="23" t="n">
        <f aca="false">IFERROR(VALUE(SUBSTITUTE(INDEX('Paste BPG'!$A:$Z,MATCH($B103,'Paste BPG'!$C:$C,0),MATCH("BP UP/TUP",'Paste BPG'!$3:$3,0)),".","")),0)</f>
        <v>0</v>
      </c>
      <c r="E103" s="23" t="n">
        <f aca="false">IFERROR(VALUE(SUBSTITUTE(INDEX('Paste BPG'!$A:$Z,MATCH($B103,'Paste BPG'!$C:$C,0),MATCH("BP LS BENDAHARA",'Paste BPG'!$3:$3,0)),".","")),0)</f>
        <v>0</v>
      </c>
      <c r="F103" s="23" t="n">
        <f aca="false">IFERROR(VALUE(SUBSTITUTE(INDEX('Paste BPG'!$A:$Z,MATCH($B103,'Paste BPG'!$C:$C,0),MATCH("BP PAJAK",'Paste BPG'!$3:$3,0)),".","")),0)</f>
        <v>0</v>
      </c>
      <c r="G103" s="23" t="n">
        <f aca="false">IFERROR(VALUE(SUBSTITUTE(INDEX('Paste BPG'!$A:$Z,MATCH($B103,'Paste BPG'!$C:$C,0),MATCH("BP HIBAH",'Paste BPG'!$3:$3,0)),".","")),0)</f>
        <v>0</v>
      </c>
      <c r="H103" s="23" t="n">
        <f aca="false">IFERROR(VALUE(SUBSTITUTE(INDEX('Paste BPG'!$A:$Z,MATCH($B103,'Paste BPG'!$C:$C,0),MATCH("BP LAIN-LAIN",'Paste BPG'!$3:$3,0)),".","")),0)</f>
        <v>0</v>
      </c>
      <c r="I103" s="24" t="n">
        <f aca="false">D103+E103+F103+G103+H103</f>
        <v>0</v>
      </c>
      <c r="J103" s="23" t="n">
        <f aca="false">D103</f>
        <v>0</v>
      </c>
      <c r="K103" s="23" t="n">
        <f aca="false">IFERROR(VALUE(SUBSTITUTE(INDEX('Paste BPG'!$A:$Z,MATCH($B103,'Paste BPG'!$C:$C,0),MATCH("KUITANSI",'Paste BPG'!$3:$3,0)),".","")),0)</f>
        <v>0</v>
      </c>
      <c r="L103" s="24" t="n">
        <f aca="false">J103+K103</f>
        <v>0</v>
      </c>
    </row>
    <row r="104" customFormat="false" ht="15.75" hidden="false" customHeight="true" outlineLevel="0" collapsed="false">
      <c r="A104" s="19" t="n">
        <v>93</v>
      </c>
      <c r="B104" s="20" t="s">
        <v>211</v>
      </c>
      <c r="C104" s="21" t="s">
        <v>202</v>
      </c>
      <c r="D104" s="23" t="n">
        <f aca="false">IFERROR(VALUE(SUBSTITUTE(INDEX('Paste BPG'!$A:$Z,MATCH($B104,'Paste BPG'!$C:$C,0),MATCH("BP UP/TUP",'Paste BPG'!$3:$3,0)),".","")),0)</f>
        <v>0</v>
      </c>
      <c r="E104" s="23" t="n">
        <f aca="false">IFERROR(VALUE(SUBSTITUTE(INDEX('Paste BPG'!$A:$Z,MATCH($B104,'Paste BPG'!$C:$C,0),MATCH("BP LS BENDAHARA",'Paste BPG'!$3:$3,0)),".","")),0)</f>
        <v>0</v>
      </c>
      <c r="F104" s="23" t="n">
        <f aca="false">IFERROR(VALUE(SUBSTITUTE(INDEX('Paste BPG'!$A:$Z,MATCH($B104,'Paste BPG'!$C:$C,0),MATCH("BP PAJAK",'Paste BPG'!$3:$3,0)),".","")),0)</f>
        <v>0</v>
      </c>
      <c r="G104" s="23" t="n">
        <f aca="false">IFERROR(VALUE(SUBSTITUTE(INDEX('Paste BPG'!$A:$Z,MATCH($B104,'Paste BPG'!$C:$C,0),MATCH("BP HIBAH",'Paste BPG'!$3:$3,0)),".","")),0)</f>
        <v>0</v>
      </c>
      <c r="H104" s="23" t="n">
        <f aca="false">IFERROR(VALUE(SUBSTITUTE(INDEX('Paste BPG'!$A:$Z,MATCH($B104,'Paste BPG'!$C:$C,0),MATCH("BP LAIN-LAIN",'Paste BPG'!$3:$3,0)),".","")),0)</f>
        <v>0</v>
      </c>
      <c r="I104" s="24" t="n">
        <f aca="false">D104+E104+F104+G104+H104</f>
        <v>0</v>
      </c>
      <c r="J104" s="23" t="n">
        <f aca="false">D104</f>
        <v>0</v>
      </c>
      <c r="K104" s="23" t="n">
        <f aca="false">IFERROR(VALUE(SUBSTITUTE(INDEX('Paste BPG'!$A:$Z,MATCH($B104,'Paste BPG'!$C:$C,0),MATCH("KUITANSI",'Paste BPG'!$3:$3,0)),".","")),0)</f>
        <v>0</v>
      </c>
      <c r="L104" s="24" t="n">
        <f aca="false">J104+K104</f>
        <v>0</v>
      </c>
    </row>
    <row r="105" customFormat="false" ht="15.75" hidden="false" customHeight="true" outlineLevel="0" collapsed="false">
      <c r="A105" s="19" t="n">
        <v>94</v>
      </c>
      <c r="B105" s="20" t="s">
        <v>212</v>
      </c>
      <c r="C105" s="21" t="s">
        <v>202</v>
      </c>
      <c r="D105" s="23" t="n">
        <f aca="false">IFERROR(VALUE(SUBSTITUTE(INDEX('Paste BPG'!$A:$Z,MATCH($B105,'Paste BPG'!$C:$C,0),MATCH("BP UP/TUP",'Paste BPG'!$3:$3,0)),".","")),0)</f>
        <v>0</v>
      </c>
      <c r="E105" s="23" t="n">
        <f aca="false">IFERROR(VALUE(SUBSTITUTE(INDEX('Paste BPG'!$A:$Z,MATCH($B105,'Paste BPG'!$C:$C,0),MATCH("BP LS BENDAHARA",'Paste BPG'!$3:$3,0)),".","")),0)</f>
        <v>0</v>
      </c>
      <c r="F105" s="23" t="n">
        <f aca="false">IFERROR(VALUE(SUBSTITUTE(INDEX('Paste BPG'!$A:$Z,MATCH($B105,'Paste BPG'!$C:$C,0),MATCH("BP PAJAK",'Paste BPG'!$3:$3,0)),".","")),0)</f>
        <v>0</v>
      </c>
      <c r="G105" s="23" t="n">
        <f aca="false">IFERROR(VALUE(SUBSTITUTE(INDEX('Paste BPG'!$A:$Z,MATCH($B105,'Paste BPG'!$C:$C,0),MATCH("BP HIBAH",'Paste BPG'!$3:$3,0)),".","")),0)</f>
        <v>0</v>
      </c>
      <c r="H105" s="23" t="n">
        <f aca="false">IFERROR(VALUE(SUBSTITUTE(INDEX('Paste BPG'!$A:$Z,MATCH($B105,'Paste BPG'!$C:$C,0),MATCH("BP LAIN-LAIN",'Paste BPG'!$3:$3,0)),".","")),0)</f>
        <v>0</v>
      </c>
      <c r="I105" s="24" t="n">
        <f aca="false">D105+E105+F105+G105+H105</f>
        <v>0</v>
      </c>
      <c r="J105" s="23" t="n">
        <f aca="false">D105</f>
        <v>0</v>
      </c>
      <c r="K105" s="23" t="n">
        <f aca="false">IFERROR(VALUE(SUBSTITUTE(INDEX('Paste BPG'!$A:$Z,MATCH($B105,'Paste BPG'!$C:$C,0),MATCH("KUITANSI",'Paste BPG'!$3:$3,0)),".","")),0)</f>
        <v>0</v>
      </c>
      <c r="L105" s="24" t="n">
        <f aca="false">J105+K105</f>
        <v>0</v>
      </c>
    </row>
    <row r="106" customFormat="false" ht="15.75" hidden="false" customHeight="true" outlineLevel="0" collapsed="false">
      <c r="A106" s="19" t="n">
        <v>95</v>
      </c>
      <c r="B106" s="20" t="s">
        <v>213</v>
      </c>
      <c r="C106" s="30" t="s">
        <v>214</v>
      </c>
      <c r="D106" s="23" t="n">
        <f aca="false">IFERROR(VALUE(SUBSTITUTE(INDEX('Paste BPG'!$A:$Z,MATCH($B106,'Paste BPG'!$C:$C,0),MATCH("BP UP/TUP",'Paste BPG'!$3:$3,0)),".","")),0)</f>
        <v>0</v>
      </c>
      <c r="E106" s="23" t="n">
        <f aca="false">IFERROR(VALUE(SUBSTITUTE(INDEX('Paste BPG'!$A:$Z,MATCH($B106,'Paste BPG'!$C:$C,0),MATCH("BP LS BENDAHARA",'Paste BPG'!$3:$3,0)),".","")),0)</f>
        <v>0</v>
      </c>
      <c r="F106" s="23" t="n">
        <f aca="false">IFERROR(VALUE(SUBSTITUTE(INDEX('Paste BPG'!$A:$Z,MATCH($B106,'Paste BPG'!$C:$C,0),MATCH("BP PAJAK",'Paste BPG'!$3:$3,0)),".","")),0)</f>
        <v>0</v>
      </c>
      <c r="G106" s="23" t="n">
        <f aca="false">IFERROR(VALUE(SUBSTITUTE(INDEX('Paste BPG'!$A:$Z,MATCH($B106,'Paste BPG'!$C:$C,0),MATCH("BP HIBAH",'Paste BPG'!$3:$3,0)),".","")),0)</f>
        <v>0</v>
      </c>
      <c r="H106" s="23" t="n">
        <f aca="false">IFERROR(VALUE(SUBSTITUTE(INDEX('Paste BPG'!$A:$Z,MATCH($B106,'Paste BPG'!$C:$C,0),MATCH("BP LAIN-LAIN",'Paste BPG'!$3:$3,0)),".","")),0)</f>
        <v>0</v>
      </c>
      <c r="I106" s="24" t="n">
        <f aca="false">D106+E106+F106+G106+H106</f>
        <v>0</v>
      </c>
      <c r="J106" s="23" t="n">
        <f aca="false">D106</f>
        <v>0</v>
      </c>
      <c r="K106" s="23" t="n">
        <f aca="false">IFERROR(VALUE(SUBSTITUTE(INDEX('Paste BPG'!$A:$Z,MATCH($B106,'Paste BPG'!$C:$C,0),MATCH("KUITANSI",'Paste BPG'!$3:$3,0)),".","")),0)</f>
        <v>0</v>
      </c>
      <c r="L106" s="24" t="n">
        <f aca="false">J106+K106</f>
        <v>0</v>
      </c>
    </row>
    <row r="107" customFormat="false" ht="15.75" hidden="false" customHeight="true" outlineLevel="0" collapsed="false">
      <c r="A107" s="19" t="n">
        <v>96</v>
      </c>
      <c r="B107" s="20" t="s">
        <v>215</v>
      </c>
      <c r="C107" s="30" t="s">
        <v>214</v>
      </c>
      <c r="D107" s="23" t="n">
        <f aca="false">IFERROR(VALUE(SUBSTITUTE(INDEX('Paste BPG'!$A:$Z,MATCH($B107,'Paste BPG'!$C:$C,0),MATCH("BP UP/TUP",'Paste BPG'!$3:$3,0)),".","")),0)</f>
        <v>0</v>
      </c>
      <c r="E107" s="23" t="n">
        <f aca="false">IFERROR(VALUE(SUBSTITUTE(INDEX('Paste BPG'!$A:$Z,MATCH($B107,'Paste BPG'!$C:$C,0),MATCH("BP LS BENDAHARA",'Paste BPG'!$3:$3,0)),".","")),0)</f>
        <v>0</v>
      </c>
      <c r="F107" s="23" t="n">
        <f aca="false">IFERROR(VALUE(SUBSTITUTE(INDEX('Paste BPG'!$A:$Z,MATCH($B107,'Paste BPG'!$C:$C,0),MATCH("BP PAJAK",'Paste BPG'!$3:$3,0)),".","")),0)</f>
        <v>0</v>
      </c>
      <c r="G107" s="23" t="n">
        <f aca="false">IFERROR(VALUE(SUBSTITUTE(INDEX('Paste BPG'!$A:$Z,MATCH($B107,'Paste BPG'!$C:$C,0),MATCH("BP HIBAH",'Paste BPG'!$3:$3,0)),".","")),0)</f>
        <v>0</v>
      </c>
      <c r="H107" s="23" t="n">
        <f aca="false">IFERROR(VALUE(SUBSTITUTE(INDEX('Paste BPG'!$A:$Z,MATCH($B107,'Paste BPG'!$C:$C,0),MATCH("BP LAIN-LAIN",'Paste BPG'!$3:$3,0)),".","")),0)</f>
        <v>0</v>
      </c>
      <c r="I107" s="24" t="n">
        <f aca="false">D107+E107+F107+G107+H107</f>
        <v>0</v>
      </c>
      <c r="J107" s="23" t="n">
        <f aca="false">D107</f>
        <v>0</v>
      </c>
      <c r="K107" s="23" t="n">
        <f aca="false">IFERROR(VALUE(SUBSTITUTE(INDEX('Paste BPG'!$A:$Z,MATCH($B107,'Paste BPG'!$C:$C,0),MATCH("KUITANSI",'Paste BPG'!$3:$3,0)),".","")),0)</f>
        <v>0</v>
      </c>
      <c r="L107" s="24" t="n">
        <f aca="false">J107+K107</f>
        <v>0</v>
      </c>
    </row>
    <row r="108" customFormat="false" ht="15.75" hidden="false" customHeight="true" outlineLevel="0" collapsed="false">
      <c r="A108" s="19" t="n">
        <v>97</v>
      </c>
      <c r="B108" s="20" t="s">
        <v>216</v>
      </c>
      <c r="C108" s="30" t="s">
        <v>214</v>
      </c>
      <c r="D108" s="23" t="n">
        <f aca="false">IFERROR(VALUE(SUBSTITUTE(INDEX('Paste BPG'!$A:$Z,MATCH($B108,'Paste BPG'!$C:$C,0),MATCH("BP UP/TUP",'Paste BPG'!$3:$3,0)),".","")),0)</f>
        <v>0</v>
      </c>
      <c r="E108" s="23" t="n">
        <f aca="false">IFERROR(VALUE(SUBSTITUTE(INDEX('Paste BPG'!$A:$Z,MATCH($B108,'Paste BPG'!$C:$C,0),MATCH("BP LS BENDAHARA",'Paste BPG'!$3:$3,0)),".","")),0)</f>
        <v>0</v>
      </c>
      <c r="F108" s="23" t="n">
        <f aca="false">IFERROR(VALUE(SUBSTITUTE(INDEX('Paste BPG'!$A:$Z,MATCH($B108,'Paste BPG'!$C:$C,0),MATCH("BP PAJAK",'Paste BPG'!$3:$3,0)),".","")),0)</f>
        <v>0</v>
      </c>
      <c r="G108" s="23" t="n">
        <f aca="false">IFERROR(VALUE(SUBSTITUTE(INDEX('Paste BPG'!$A:$Z,MATCH($B108,'Paste BPG'!$C:$C,0),MATCH("BP HIBAH",'Paste BPG'!$3:$3,0)),".","")),0)</f>
        <v>0</v>
      </c>
      <c r="H108" s="23" t="n">
        <f aca="false">IFERROR(VALUE(SUBSTITUTE(INDEX('Paste BPG'!$A:$Z,MATCH($B108,'Paste BPG'!$C:$C,0),MATCH("BP LAIN-LAIN",'Paste BPG'!$3:$3,0)),".","")),0)</f>
        <v>0</v>
      </c>
      <c r="I108" s="24" t="n">
        <f aca="false">D108+E108+F108+G108+H108</f>
        <v>0</v>
      </c>
      <c r="J108" s="23" t="n">
        <f aca="false">D108</f>
        <v>0</v>
      </c>
      <c r="K108" s="23" t="n">
        <f aca="false">IFERROR(VALUE(SUBSTITUTE(INDEX('Paste BPG'!$A:$Z,MATCH($B108,'Paste BPG'!$C:$C,0),MATCH("KUITANSI",'Paste BPG'!$3:$3,0)),".","")),0)</f>
        <v>0</v>
      </c>
      <c r="L108" s="24" t="n">
        <f aca="false">J108+K108</f>
        <v>0</v>
      </c>
    </row>
    <row r="109" customFormat="false" ht="27.75" hidden="false" customHeight="true" outlineLevel="0" collapsed="false">
      <c r="A109" s="19" t="n">
        <v>98</v>
      </c>
      <c r="B109" s="20" t="s">
        <v>217</v>
      </c>
      <c r="C109" s="21" t="s">
        <v>218</v>
      </c>
      <c r="D109" s="23" t="n">
        <f aca="false">IFERROR(VALUE(SUBSTITUTE(INDEX('Paste BPG'!$A:$Z,MATCH($B109,'Paste BPG'!$C:$C,0),MATCH("BP UP/TUP",'Paste BPG'!$3:$3,0)),".","")),0)</f>
        <v>0</v>
      </c>
      <c r="E109" s="23" t="n">
        <f aca="false">IFERROR(VALUE(SUBSTITUTE(INDEX('Paste BPG'!$A:$Z,MATCH($B109,'Paste BPG'!$C:$C,0),MATCH("BP LS BENDAHARA",'Paste BPG'!$3:$3,0)),".","")),0)</f>
        <v>0</v>
      </c>
      <c r="F109" s="23" t="n">
        <f aca="false">IFERROR(VALUE(SUBSTITUTE(INDEX('Paste BPG'!$A:$Z,MATCH($B109,'Paste BPG'!$C:$C,0),MATCH("BP PAJAK",'Paste BPG'!$3:$3,0)),".","")),0)</f>
        <v>0</v>
      </c>
      <c r="G109" s="23" t="n">
        <f aca="false">IFERROR(VALUE(SUBSTITUTE(INDEX('Paste BPG'!$A:$Z,MATCH($B109,'Paste BPG'!$C:$C,0),MATCH("BP HIBAH",'Paste BPG'!$3:$3,0)),".","")),0)</f>
        <v>0</v>
      </c>
      <c r="H109" s="23" t="n">
        <f aca="false">IFERROR(VALUE(SUBSTITUTE(INDEX('Paste BPG'!$A:$Z,MATCH($B109,'Paste BPG'!$C:$C,0),MATCH("BP LAIN-LAIN",'Paste BPG'!$3:$3,0)),".","")),0)</f>
        <v>0</v>
      </c>
      <c r="I109" s="24" t="n">
        <f aca="false">D109+E109+F109+G109+H109</f>
        <v>0</v>
      </c>
      <c r="J109" s="23" t="n">
        <f aca="false">D109</f>
        <v>0</v>
      </c>
      <c r="K109" s="23" t="n">
        <f aca="false">IFERROR(VALUE(SUBSTITUTE(INDEX('Paste BPG'!$A:$Z,MATCH($B109,'Paste BPG'!$C:$C,0),MATCH("KUITANSI",'Paste BPG'!$3:$3,0)),".","")),0)</f>
        <v>0</v>
      </c>
      <c r="L109" s="24" t="n">
        <f aca="false">J109+K109</f>
        <v>0</v>
      </c>
    </row>
    <row r="110" customFormat="false" ht="28.5" hidden="false" customHeight="true" outlineLevel="0" collapsed="false">
      <c r="A110" s="19" t="n">
        <v>99</v>
      </c>
      <c r="B110" s="20" t="s">
        <v>219</v>
      </c>
      <c r="C110" s="21" t="s">
        <v>220</v>
      </c>
      <c r="D110" s="23" t="n">
        <f aca="false">IFERROR(VALUE(SUBSTITUTE(INDEX('Paste BPG'!$A:$Z,MATCH($B110,'Paste BPG'!$C:$C,0),MATCH("BP UP/TUP",'Paste BPG'!$3:$3,0)),".","")),0)</f>
        <v>0</v>
      </c>
      <c r="E110" s="23" t="n">
        <f aca="false">IFERROR(VALUE(SUBSTITUTE(INDEX('Paste BPG'!$A:$Z,MATCH($B110,'Paste BPG'!$C:$C,0),MATCH("BP LS BENDAHARA",'Paste BPG'!$3:$3,0)),".","")),0)</f>
        <v>0</v>
      </c>
      <c r="F110" s="23" t="n">
        <f aca="false">IFERROR(VALUE(SUBSTITUTE(INDEX('Paste BPG'!$A:$Z,MATCH($B110,'Paste BPG'!$C:$C,0),MATCH("BP PAJAK",'Paste BPG'!$3:$3,0)),".","")),0)</f>
        <v>0</v>
      </c>
      <c r="G110" s="23" t="n">
        <f aca="false">IFERROR(VALUE(SUBSTITUTE(INDEX('Paste BPG'!$A:$Z,MATCH($B110,'Paste BPG'!$C:$C,0),MATCH("BP HIBAH",'Paste BPG'!$3:$3,0)),".","")),0)</f>
        <v>0</v>
      </c>
      <c r="H110" s="23" t="n">
        <f aca="false">IFERROR(VALUE(SUBSTITUTE(INDEX('Paste BPG'!$A:$Z,MATCH($B110,'Paste BPG'!$C:$C,0),MATCH("BP LAIN-LAIN",'Paste BPG'!$3:$3,0)),".","")),0)</f>
        <v>0</v>
      </c>
      <c r="I110" s="24" t="n">
        <f aca="false">D110+E110+F110+G110+H110</f>
        <v>0</v>
      </c>
      <c r="J110" s="23" t="n">
        <f aca="false">D110</f>
        <v>0</v>
      </c>
      <c r="K110" s="23" t="n">
        <f aca="false">IFERROR(VALUE(SUBSTITUTE(INDEX('Paste BPG'!$A:$Z,MATCH($B110,'Paste BPG'!$C:$C,0),MATCH("KUITANSI",'Paste BPG'!$3:$3,0)),".","")),0)</f>
        <v>0</v>
      </c>
      <c r="L110" s="24" t="n">
        <f aca="false">J110+K110</f>
        <v>0</v>
      </c>
    </row>
    <row r="111" customFormat="false" ht="28.5" hidden="false" customHeight="true" outlineLevel="0" collapsed="false">
      <c r="A111" s="19" t="n">
        <v>100</v>
      </c>
      <c r="B111" s="20" t="s">
        <v>221</v>
      </c>
      <c r="C111" s="21" t="s">
        <v>222</v>
      </c>
      <c r="D111" s="23" t="n">
        <f aca="false">IFERROR(VALUE(SUBSTITUTE(INDEX('Paste BPG'!$A:$Z,MATCH($B111,'Paste BPG'!$C:$C,0),MATCH("BP UP/TUP",'Paste BPG'!$3:$3,0)),".","")),0)</f>
        <v>0</v>
      </c>
      <c r="E111" s="23" t="n">
        <f aca="false">IFERROR(VALUE(SUBSTITUTE(INDEX('Paste BPG'!$A:$Z,MATCH($B111,'Paste BPG'!$C:$C,0),MATCH("BP LS BENDAHARA",'Paste BPG'!$3:$3,0)),".","")),0)</f>
        <v>0</v>
      </c>
      <c r="F111" s="23" t="n">
        <f aca="false">IFERROR(VALUE(SUBSTITUTE(INDEX('Paste BPG'!$A:$Z,MATCH($B111,'Paste BPG'!$C:$C,0),MATCH("BP PAJAK",'Paste BPG'!$3:$3,0)),".","")),0)</f>
        <v>0</v>
      </c>
      <c r="G111" s="23" t="n">
        <f aca="false">IFERROR(VALUE(SUBSTITUTE(INDEX('Paste BPG'!$A:$Z,MATCH($B111,'Paste BPG'!$C:$C,0),MATCH("BP HIBAH",'Paste BPG'!$3:$3,0)),".","")),0)</f>
        <v>0</v>
      </c>
      <c r="H111" s="23" t="n">
        <f aca="false">IFERROR(VALUE(SUBSTITUTE(INDEX('Paste BPG'!$A:$Z,MATCH($B111,'Paste BPG'!$C:$C,0),MATCH("BP LAIN-LAIN",'Paste BPG'!$3:$3,0)),".","")),0)</f>
        <v>0</v>
      </c>
      <c r="I111" s="24" t="n">
        <f aca="false">D111+E111+F111+G111+H111</f>
        <v>0</v>
      </c>
      <c r="J111" s="23" t="n">
        <f aca="false">D111</f>
        <v>0</v>
      </c>
      <c r="K111" s="23" t="n">
        <f aca="false">IFERROR(VALUE(SUBSTITUTE(INDEX('Paste BPG'!$A:$Z,MATCH($B111,'Paste BPG'!$C:$C,0),MATCH("KUITANSI",'Paste BPG'!$3:$3,0)),".","")),0)</f>
        <v>0</v>
      </c>
      <c r="L111" s="24" t="n">
        <f aca="false">J111+K111</f>
        <v>0</v>
      </c>
    </row>
    <row r="112" customFormat="false" ht="28.5" hidden="false" customHeight="true" outlineLevel="0" collapsed="false">
      <c r="A112" s="19" t="n">
        <v>101</v>
      </c>
      <c r="B112" s="20" t="s">
        <v>223</v>
      </c>
      <c r="C112" s="21" t="s">
        <v>224</v>
      </c>
      <c r="D112" s="23" t="n">
        <f aca="false">IFERROR(VALUE(SUBSTITUTE(INDEX('Paste BPG'!$A:$Z,MATCH($B112,'Paste BPG'!$C:$C,0),MATCH("BP UP/TUP",'Paste BPG'!$3:$3,0)),".","")),0)</f>
        <v>0</v>
      </c>
      <c r="E112" s="23" t="n">
        <f aca="false">IFERROR(VALUE(SUBSTITUTE(INDEX('Paste BPG'!$A:$Z,MATCH($B112,'Paste BPG'!$C:$C,0),MATCH("BP LS BENDAHARA",'Paste BPG'!$3:$3,0)),".","")),0)</f>
        <v>0</v>
      </c>
      <c r="F112" s="23" t="n">
        <f aca="false">IFERROR(VALUE(SUBSTITUTE(INDEX('Paste BPG'!$A:$Z,MATCH($B112,'Paste BPG'!$C:$C,0),MATCH("BP PAJAK",'Paste BPG'!$3:$3,0)),".","")),0)</f>
        <v>0</v>
      </c>
      <c r="G112" s="23" t="n">
        <f aca="false">IFERROR(VALUE(SUBSTITUTE(INDEX('Paste BPG'!$A:$Z,MATCH($B112,'Paste BPG'!$C:$C,0),MATCH("BP HIBAH",'Paste BPG'!$3:$3,0)),".","")),0)</f>
        <v>0</v>
      </c>
      <c r="H112" s="23" t="n">
        <f aca="false">IFERROR(VALUE(SUBSTITUTE(INDEX('Paste BPG'!$A:$Z,MATCH($B112,'Paste BPG'!$C:$C,0),MATCH("BP LAIN-LAIN",'Paste BPG'!$3:$3,0)),".","")),0)</f>
        <v>0</v>
      </c>
      <c r="I112" s="24" t="n">
        <f aca="false">D112+E112+F112+G112+H112</f>
        <v>0</v>
      </c>
      <c r="J112" s="23" t="n">
        <f aca="false">D112</f>
        <v>0</v>
      </c>
      <c r="K112" s="23" t="n">
        <f aca="false">IFERROR(VALUE(SUBSTITUTE(INDEX('Paste BPG'!$A:$Z,MATCH($B112,'Paste BPG'!$C:$C,0),MATCH("KUITANSI",'Paste BPG'!$3:$3,0)),".","")),0)</f>
        <v>0</v>
      </c>
      <c r="L112" s="24" t="n">
        <f aca="false">J112+K112</f>
        <v>0</v>
      </c>
    </row>
    <row r="113" customFormat="false" ht="28.5" hidden="false" customHeight="true" outlineLevel="0" collapsed="false">
      <c r="A113" s="19" t="n">
        <v>102</v>
      </c>
      <c r="B113" s="20" t="s">
        <v>225</v>
      </c>
      <c r="C113" s="21" t="s">
        <v>226</v>
      </c>
      <c r="D113" s="23" t="n">
        <f aca="false">IFERROR(VALUE(SUBSTITUTE(INDEX('Paste BPG'!$A:$Z,MATCH($B113,'Paste BPG'!$C:$C,0),MATCH("BP UP/TUP",'Paste BPG'!$3:$3,0)),".","")),0)</f>
        <v>0</v>
      </c>
      <c r="E113" s="23" t="n">
        <f aca="false">IFERROR(VALUE(SUBSTITUTE(INDEX('Paste BPG'!$A:$Z,MATCH($B113,'Paste BPG'!$C:$C,0),MATCH("BP LS BENDAHARA",'Paste BPG'!$3:$3,0)),".","")),0)</f>
        <v>0</v>
      </c>
      <c r="F113" s="23" t="n">
        <f aca="false">IFERROR(VALUE(SUBSTITUTE(INDEX('Paste BPG'!$A:$Z,MATCH($B113,'Paste BPG'!$C:$C,0),MATCH("BP PAJAK",'Paste BPG'!$3:$3,0)),".","")),0)</f>
        <v>0</v>
      </c>
      <c r="G113" s="23" t="n">
        <f aca="false">IFERROR(VALUE(SUBSTITUTE(INDEX('Paste BPG'!$A:$Z,MATCH($B113,'Paste BPG'!$C:$C,0),MATCH("BP HIBAH",'Paste BPG'!$3:$3,0)),".","")),0)</f>
        <v>0</v>
      </c>
      <c r="H113" s="23" t="n">
        <f aca="false">IFERROR(VALUE(SUBSTITUTE(INDEX('Paste BPG'!$A:$Z,MATCH($B113,'Paste BPG'!$C:$C,0),MATCH("BP LAIN-LAIN",'Paste BPG'!$3:$3,0)),".","")),0)</f>
        <v>0</v>
      </c>
      <c r="I113" s="24" t="n">
        <f aca="false">D113+E113+F113+G113+H113</f>
        <v>0</v>
      </c>
      <c r="J113" s="23" t="n">
        <f aca="false">D113</f>
        <v>0</v>
      </c>
      <c r="K113" s="23" t="n">
        <f aca="false">IFERROR(VALUE(SUBSTITUTE(INDEX('Paste BPG'!$A:$Z,MATCH($B113,'Paste BPG'!$C:$C,0),MATCH("KUITANSI",'Paste BPG'!$3:$3,0)),".","")),0)</f>
        <v>0</v>
      </c>
      <c r="L113" s="24" t="n">
        <f aca="false">J113+K113</f>
        <v>0</v>
      </c>
    </row>
    <row r="114" customFormat="false" ht="28.5" hidden="false" customHeight="true" outlineLevel="0" collapsed="false">
      <c r="A114" s="19" t="n">
        <v>103</v>
      </c>
      <c r="B114" s="20" t="s">
        <v>227</v>
      </c>
      <c r="C114" s="21" t="s">
        <v>228</v>
      </c>
      <c r="D114" s="23" t="n">
        <f aca="false">IFERROR(VALUE(SUBSTITUTE(INDEX('Paste BPG'!$A:$Z,MATCH($B114,'Paste BPG'!$C:$C,0),MATCH("BP UP/TUP",'Paste BPG'!$3:$3,0)),".","")),0)</f>
        <v>0</v>
      </c>
      <c r="E114" s="23" t="n">
        <f aca="false">IFERROR(VALUE(SUBSTITUTE(INDEX('Paste BPG'!$A:$Z,MATCH($B114,'Paste BPG'!$C:$C,0),MATCH("BP LS BENDAHARA",'Paste BPG'!$3:$3,0)),".","")),0)</f>
        <v>0</v>
      </c>
      <c r="F114" s="23" t="n">
        <f aca="false">IFERROR(VALUE(SUBSTITUTE(INDEX('Paste BPG'!$A:$Z,MATCH($B114,'Paste BPG'!$C:$C,0),MATCH("BP PAJAK",'Paste BPG'!$3:$3,0)),".","")),0)</f>
        <v>0</v>
      </c>
      <c r="G114" s="23" t="n">
        <f aca="false">IFERROR(VALUE(SUBSTITUTE(INDEX('Paste BPG'!$A:$Z,MATCH($B114,'Paste BPG'!$C:$C,0),MATCH("BP HIBAH",'Paste BPG'!$3:$3,0)),".","")),0)</f>
        <v>0</v>
      </c>
      <c r="H114" s="23" t="n">
        <f aca="false">IFERROR(VALUE(SUBSTITUTE(INDEX('Paste BPG'!$A:$Z,MATCH($B114,'Paste BPG'!$C:$C,0),MATCH("BP LAIN-LAIN",'Paste BPG'!$3:$3,0)),".","")),0)</f>
        <v>0</v>
      </c>
      <c r="I114" s="24" t="n">
        <f aca="false">D114+E114+F114+G114+H114</f>
        <v>0</v>
      </c>
      <c r="J114" s="23" t="n">
        <f aca="false">D114</f>
        <v>0</v>
      </c>
      <c r="K114" s="23" t="n">
        <f aca="false">IFERROR(VALUE(SUBSTITUTE(INDEX('Paste BPG'!$A:$Z,MATCH($B114,'Paste BPG'!$C:$C,0),MATCH("KUITANSI",'Paste BPG'!$3:$3,0)),".","")),0)</f>
        <v>0</v>
      </c>
      <c r="L114" s="24" t="n">
        <f aca="false">J114+K114</f>
        <v>0</v>
      </c>
    </row>
    <row r="115" customFormat="false" ht="28.5" hidden="false" customHeight="true" outlineLevel="0" collapsed="false">
      <c r="A115" s="19" t="n">
        <v>104</v>
      </c>
      <c r="B115" s="20" t="s">
        <v>229</v>
      </c>
      <c r="C115" s="21" t="s">
        <v>230</v>
      </c>
      <c r="D115" s="23" t="n">
        <f aca="false">IFERROR(VALUE(SUBSTITUTE(INDEX('Paste BPG'!$A:$Z,MATCH($B115,'Paste BPG'!$C:$C,0),MATCH("BP UP/TUP",'Paste BPG'!$3:$3,0)),".","")),0)</f>
        <v>0</v>
      </c>
      <c r="E115" s="23" t="n">
        <f aca="false">IFERROR(VALUE(SUBSTITUTE(INDEX('Paste BPG'!$A:$Z,MATCH($B115,'Paste BPG'!$C:$C,0),MATCH("BP LS BENDAHARA",'Paste BPG'!$3:$3,0)),".","")),0)</f>
        <v>0</v>
      </c>
      <c r="F115" s="23" t="n">
        <f aca="false">IFERROR(VALUE(SUBSTITUTE(INDEX('Paste BPG'!$A:$Z,MATCH($B115,'Paste BPG'!$C:$C,0),MATCH("BP PAJAK",'Paste BPG'!$3:$3,0)),".","")),0)</f>
        <v>0</v>
      </c>
      <c r="G115" s="23" t="n">
        <f aca="false">IFERROR(VALUE(SUBSTITUTE(INDEX('Paste BPG'!$A:$Z,MATCH($B115,'Paste BPG'!$C:$C,0),MATCH("BP HIBAH",'Paste BPG'!$3:$3,0)),".","")),0)</f>
        <v>0</v>
      </c>
      <c r="H115" s="23" t="n">
        <f aca="false">IFERROR(VALUE(SUBSTITUTE(INDEX('Paste BPG'!$A:$Z,MATCH($B115,'Paste BPG'!$C:$C,0),MATCH("BP LAIN-LAIN",'Paste BPG'!$3:$3,0)),".","")),0)</f>
        <v>0</v>
      </c>
      <c r="I115" s="24" t="n">
        <f aca="false">D115+E115+F115+G115+H115</f>
        <v>0</v>
      </c>
      <c r="J115" s="23" t="n">
        <f aca="false">D115</f>
        <v>0</v>
      </c>
      <c r="K115" s="23" t="n">
        <f aca="false">IFERROR(VALUE(SUBSTITUTE(INDEX('Paste BPG'!$A:$Z,MATCH($B115,'Paste BPG'!$C:$C,0),MATCH("KUITANSI",'Paste BPG'!$3:$3,0)),".","")),0)</f>
        <v>0</v>
      </c>
      <c r="L115" s="24" t="n">
        <f aca="false">J115+K115</f>
        <v>0</v>
      </c>
    </row>
    <row r="116" customFormat="false" ht="28.5" hidden="false" customHeight="true" outlineLevel="0" collapsed="false">
      <c r="A116" s="19" t="n">
        <v>105</v>
      </c>
      <c r="B116" s="20" t="s">
        <v>231</v>
      </c>
      <c r="C116" s="21" t="s">
        <v>232</v>
      </c>
      <c r="D116" s="23" t="n">
        <f aca="false">IFERROR(VALUE(SUBSTITUTE(INDEX('Paste BPG'!$A:$Z,MATCH($B116,'Paste BPG'!$C:$C,0),MATCH("BP UP/TUP",'Paste BPG'!$3:$3,0)),".","")),0)</f>
        <v>0</v>
      </c>
      <c r="E116" s="23" t="n">
        <f aca="false">IFERROR(VALUE(SUBSTITUTE(INDEX('Paste BPG'!$A:$Z,MATCH($B116,'Paste BPG'!$C:$C,0),MATCH("BP LS BENDAHARA",'Paste BPG'!$3:$3,0)),".","")),0)</f>
        <v>0</v>
      </c>
      <c r="F116" s="23" t="n">
        <f aca="false">IFERROR(VALUE(SUBSTITUTE(INDEX('Paste BPG'!$A:$Z,MATCH($B116,'Paste BPG'!$C:$C,0),MATCH("BP PAJAK",'Paste BPG'!$3:$3,0)),".","")),0)</f>
        <v>0</v>
      </c>
      <c r="G116" s="23" t="n">
        <f aca="false">IFERROR(VALUE(SUBSTITUTE(INDEX('Paste BPG'!$A:$Z,MATCH($B116,'Paste BPG'!$C:$C,0),MATCH("BP HIBAH",'Paste BPG'!$3:$3,0)),".","")),0)</f>
        <v>0</v>
      </c>
      <c r="H116" s="23" t="n">
        <f aca="false">IFERROR(VALUE(SUBSTITUTE(INDEX('Paste BPG'!$A:$Z,MATCH($B116,'Paste BPG'!$C:$C,0),MATCH("BP LAIN-LAIN",'Paste BPG'!$3:$3,0)),".","")),0)</f>
        <v>0</v>
      </c>
      <c r="I116" s="24" t="n">
        <f aca="false">D116+E116+F116+G116+H116</f>
        <v>0</v>
      </c>
      <c r="J116" s="23" t="n">
        <f aca="false">D116</f>
        <v>0</v>
      </c>
      <c r="K116" s="23" t="n">
        <f aca="false">IFERROR(VALUE(SUBSTITUTE(INDEX('Paste BPG'!$A:$Z,MATCH($B116,'Paste BPG'!$C:$C,0),MATCH("KUITANSI",'Paste BPG'!$3:$3,0)),".","")),0)</f>
        <v>0</v>
      </c>
      <c r="L116" s="24" t="n">
        <f aca="false">J116+K116</f>
        <v>0</v>
      </c>
    </row>
    <row r="117" customFormat="false" ht="28.5" hidden="false" customHeight="true" outlineLevel="0" collapsed="false">
      <c r="A117" s="19" t="n">
        <v>106</v>
      </c>
      <c r="B117" s="20" t="s">
        <v>233</v>
      </c>
      <c r="C117" s="21" t="s">
        <v>234</v>
      </c>
      <c r="D117" s="23" t="n">
        <f aca="false">IFERROR(VALUE(SUBSTITUTE(INDEX('Paste BPG'!$A:$Z,MATCH($B117,'Paste BPG'!$C:$C,0),MATCH("BP UP/TUP",'Paste BPG'!$3:$3,0)),".","")),0)</f>
        <v>0</v>
      </c>
      <c r="E117" s="23" t="n">
        <f aca="false">IFERROR(VALUE(SUBSTITUTE(INDEX('Paste BPG'!$A:$Z,MATCH($B117,'Paste BPG'!$C:$C,0),MATCH("BP LS BENDAHARA",'Paste BPG'!$3:$3,0)),".","")),0)</f>
        <v>0</v>
      </c>
      <c r="F117" s="23" t="n">
        <f aca="false">IFERROR(VALUE(SUBSTITUTE(INDEX('Paste BPG'!$A:$Z,MATCH($B117,'Paste BPG'!$C:$C,0),MATCH("BP PAJAK",'Paste BPG'!$3:$3,0)),".","")),0)</f>
        <v>0</v>
      </c>
      <c r="G117" s="23" t="n">
        <f aca="false">IFERROR(VALUE(SUBSTITUTE(INDEX('Paste BPG'!$A:$Z,MATCH($B117,'Paste BPG'!$C:$C,0),MATCH("BP HIBAH",'Paste BPG'!$3:$3,0)),".","")),0)</f>
        <v>0</v>
      </c>
      <c r="H117" s="23" t="n">
        <f aca="false">IFERROR(VALUE(SUBSTITUTE(INDEX('Paste BPG'!$A:$Z,MATCH($B117,'Paste BPG'!$C:$C,0),MATCH("BP LAIN-LAIN",'Paste BPG'!$3:$3,0)),".","")),0)</f>
        <v>0</v>
      </c>
      <c r="I117" s="24" t="n">
        <f aca="false">D117+E117+F117+G117+H117</f>
        <v>0</v>
      </c>
      <c r="J117" s="23" t="n">
        <f aca="false">D117</f>
        <v>0</v>
      </c>
      <c r="K117" s="23" t="n">
        <f aca="false">IFERROR(VALUE(SUBSTITUTE(INDEX('Paste BPG'!$A:$Z,MATCH($B117,'Paste BPG'!$C:$C,0),MATCH("KUITANSI",'Paste BPG'!$3:$3,0)),".","")),0)</f>
        <v>0</v>
      </c>
      <c r="L117" s="24" t="n">
        <f aca="false">J117+K117</f>
        <v>0</v>
      </c>
    </row>
    <row r="118" customFormat="false" ht="28.5" hidden="false" customHeight="true" outlineLevel="0" collapsed="false">
      <c r="A118" s="19" t="n">
        <v>107</v>
      </c>
      <c r="B118" s="20" t="s">
        <v>235</v>
      </c>
      <c r="C118" s="21" t="s">
        <v>236</v>
      </c>
      <c r="D118" s="23" t="n">
        <f aca="false">IFERROR(VALUE(SUBSTITUTE(INDEX('Paste BPG'!$A:$Z,MATCH($B118,'Paste BPG'!$C:$C,0),MATCH("BP UP/TUP",'Paste BPG'!$3:$3,0)),".","")),0)</f>
        <v>0</v>
      </c>
      <c r="E118" s="23" t="n">
        <f aca="false">IFERROR(VALUE(SUBSTITUTE(INDEX('Paste BPG'!$A:$Z,MATCH($B118,'Paste BPG'!$C:$C,0),MATCH("BP LS BENDAHARA",'Paste BPG'!$3:$3,0)),".","")),0)</f>
        <v>0</v>
      </c>
      <c r="F118" s="23" t="n">
        <f aca="false">IFERROR(VALUE(SUBSTITUTE(INDEX('Paste BPG'!$A:$Z,MATCH($B118,'Paste BPG'!$C:$C,0),MATCH("BP PAJAK",'Paste BPG'!$3:$3,0)),".","")),0)</f>
        <v>0</v>
      </c>
      <c r="G118" s="23" t="n">
        <f aca="false">IFERROR(VALUE(SUBSTITUTE(INDEX('Paste BPG'!$A:$Z,MATCH($B118,'Paste BPG'!$C:$C,0),MATCH("BP HIBAH",'Paste BPG'!$3:$3,0)),".","")),0)</f>
        <v>0</v>
      </c>
      <c r="H118" s="23" t="n">
        <f aca="false">IFERROR(VALUE(SUBSTITUTE(INDEX('Paste BPG'!$A:$Z,MATCH($B118,'Paste BPG'!$C:$C,0),MATCH("BP LAIN-LAIN",'Paste BPG'!$3:$3,0)),".","")),0)</f>
        <v>0</v>
      </c>
      <c r="I118" s="24" t="n">
        <f aca="false">D118+E118+F118+G118+H118</f>
        <v>0</v>
      </c>
      <c r="J118" s="23" t="n">
        <f aca="false">D118</f>
        <v>0</v>
      </c>
      <c r="K118" s="23" t="n">
        <f aca="false">IFERROR(VALUE(SUBSTITUTE(INDEX('Paste BPG'!$A:$Z,MATCH($B118,'Paste BPG'!$C:$C,0),MATCH("KUITANSI",'Paste BPG'!$3:$3,0)),".","")),0)</f>
        <v>0</v>
      </c>
      <c r="L118" s="24" t="n">
        <f aca="false">J118+K118</f>
        <v>0</v>
      </c>
    </row>
    <row r="119" customFormat="false" ht="27.75" hidden="false" customHeight="true" outlineLevel="0" collapsed="false">
      <c r="A119" s="19" t="n">
        <v>108</v>
      </c>
      <c r="B119" s="20" t="s">
        <v>237</v>
      </c>
      <c r="C119" s="21" t="s">
        <v>238</v>
      </c>
      <c r="D119" s="23" t="n">
        <f aca="false">IFERROR(VALUE(SUBSTITUTE(INDEX('Paste BPG'!$A:$Z,MATCH($B119,'Paste BPG'!$C:$C,0),MATCH("BP UP/TUP",'Paste BPG'!$3:$3,0)),".","")),0)</f>
        <v>0</v>
      </c>
      <c r="E119" s="23" t="n">
        <f aca="false">IFERROR(VALUE(SUBSTITUTE(INDEX('Paste BPG'!$A:$Z,MATCH($B119,'Paste BPG'!$C:$C,0),MATCH("BP LS BENDAHARA",'Paste BPG'!$3:$3,0)),".","")),0)</f>
        <v>0</v>
      </c>
      <c r="F119" s="23" t="n">
        <f aca="false">IFERROR(VALUE(SUBSTITUTE(INDEX('Paste BPG'!$A:$Z,MATCH($B119,'Paste BPG'!$C:$C,0),MATCH("BP PAJAK",'Paste BPG'!$3:$3,0)),".","")),0)</f>
        <v>0</v>
      </c>
      <c r="G119" s="23" t="n">
        <f aca="false">IFERROR(VALUE(SUBSTITUTE(INDEX('Paste BPG'!$A:$Z,MATCH($B119,'Paste BPG'!$C:$C,0),MATCH("BP HIBAH",'Paste BPG'!$3:$3,0)),".","")),0)</f>
        <v>0</v>
      </c>
      <c r="H119" s="23" t="n">
        <f aca="false">IFERROR(VALUE(SUBSTITUTE(INDEX('Paste BPG'!$A:$Z,MATCH($B119,'Paste BPG'!$C:$C,0),MATCH("BP LAIN-LAIN",'Paste BPG'!$3:$3,0)),".","")),0)</f>
        <v>0</v>
      </c>
      <c r="I119" s="24" t="n">
        <f aca="false">D119+E119+F119+G119+H119</f>
        <v>0</v>
      </c>
      <c r="J119" s="23" t="n">
        <f aca="false">D119</f>
        <v>0</v>
      </c>
      <c r="K119" s="23" t="n">
        <f aca="false">IFERROR(VALUE(SUBSTITUTE(INDEX('Paste BPG'!$A:$Z,MATCH($B119,'Paste BPG'!$C:$C,0),MATCH("KUITANSI",'Paste BPG'!$3:$3,0)),".","")),0)</f>
        <v>0</v>
      </c>
      <c r="L119" s="24" t="n">
        <f aca="false">J119+K119</f>
        <v>0</v>
      </c>
    </row>
    <row r="120" customFormat="false" ht="28.5" hidden="false" customHeight="true" outlineLevel="0" collapsed="false">
      <c r="A120" s="19" t="n">
        <v>109</v>
      </c>
      <c r="B120" s="20" t="s">
        <v>239</v>
      </c>
      <c r="C120" s="21" t="s">
        <v>240</v>
      </c>
      <c r="D120" s="23" t="n">
        <f aca="false">IFERROR(VALUE(SUBSTITUTE(INDEX('Paste BPG'!$A:$Z,MATCH($B120,'Paste BPG'!$C:$C,0),MATCH("BP UP/TUP",'Paste BPG'!$3:$3,0)),".","")),0)</f>
        <v>0</v>
      </c>
      <c r="E120" s="23" t="n">
        <f aca="false">IFERROR(VALUE(SUBSTITUTE(INDEX('Paste BPG'!$A:$Z,MATCH($B120,'Paste BPG'!$C:$C,0),MATCH("BP LS BENDAHARA",'Paste BPG'!$3:$3,0)),".","")),0)</f>
        <v>0</v>
      </c>
      <c r="F120" s="23" t="n">
        <f aca="false">IFERROR(VALUE(SUBSTITUTE(INDEX('Paste BPG'!$A:$Z,MATCH($B120,'Paste BPG'!$C:$C,0),MATCH("BP PAJAK",'Paste BPG'!$3:$3,0)),".","")),0)</f>
        <v>0</v>
      </c>
      <c r="G120" s="23" t="n">
        <f aca="false">IFERROR(VALUE(SUBSTITUTE(INDEX('Paste BPG'!$A:$Z,MATCH($B120,'Paste BPG'!$C:$C,0),MATCH("BP HIBAH",'Paste BPG'!$3:$3,0)),".","")),0)</f>
        <v>0</v>
      </c>
      <c r="H120" s="23" t="n">
        <f aca="false">IFERROR(VALUE(SUBSTITUTE(INDEX('Paste BPG'!$A:$Z,MATCH($B120,'Paste BPG'!$C:$C,0),MATCH("BP LAIN-LAIN",'Paste BPG'!$3:$3,0)),".","")),0)</f>
        <v>0</v>
      </c>
      <c r="I120" s="24" t="n">
        <f aca="false">D120+E120+F120+G120+H120</f>
        <v>0</v>
      </c>
      <c r="J120" s="23" t="n">
        <f aca="false">D120</f>
        <v>0</v>
      </c>
      <c r="K120" s="23" t="n">
        <f aca="false">IFERROR(VALUE(SUBSTITUTE(INDEX('Paste BPG'!$A:$Z,MATCH($B120,'Paste BPG'!$C:$C,0),MATCH("KUITANSI",'Paste BPG'!$3:$3,0)),".","")),0)</f>
        <v>0</v>
      </c>
      <c r="L120" s="24" t="n">
        <f aca="false">J120+K120</f>
        <v>0</v>
      </c>
    </row>
    <row r="121" customFormat="false" ht="29.25" hidden="false" customHeight="true" outlineLevel="0" collapsed="false">
      <c r="A121" s="19" t="n">
        <v>110</v>
      </c>
      <c r="B121" s="20" t="s">
        <v>241</v>
      </c>
      <c r="C121" s="21" t="s">
        <v>242</v>
      </c>
      <c r="D121" s="23" t="n">
        <f aca="false">IFERROR(VALUE(SUBSTITUTE(INDEX('Paste BPG'!$A:$Z,MATCH($B121,'Paste BPG'!$C:$C,0),MATCH("BP UP/TUP",'Paste BPG'!$3:$3,0)),".","")),0)</f>
        <v>0</v>
      </c>
      <c r="E121" s="23" t="n">
        <f aca="false">IFERROR(VALUE(SUBSTITUTE(INDEX('Paste BPG'!$A:$Z,MATCH($B121,'Paste BPG'!$C:$C,0),MATCH("BP LS BENDAHARA",'Paste BPG'!$3:$3,0)),".","")),0)</f>
        <v>0</v>
      </c>
      <c r="F121" s="23" t="n">
        <f aca="false">IFERROR(VALUE(SUBSTITUTE(INDEX('Paste BPG'!$A:$Z,MATCH($B121,'Paste BPG'!$C:$C,0),MATCH("BP PAJAK",'Paste BPG'!$3:$3,0)),".","")),0)</f>
        <v>0</v>
      </c>
      <c r="G121" s="23" t="n">
        <f aca="false">IFERROR(VALUE(SUBSTITUTE(INDEX('Paste BPG'!$A:$Z,MATCH($B121,'Paste BPG'!$C:$C,0),MATCH("BP HIBAH",'Paste BPG'!$3:$3,0)),".","")),0)</f>
        <v>0</v>
      </c>
      <c r="H121" s="23" t="n">
        <f aca="false">IFERROR(VALUE(SUBSTITUTE(INDEX('Paste BPG'!$A:$Z,MATCH($B121,'Paste BPG'!$C:$C,0),MATCH("BP LAIN-LAIN",'Paste BPG'!$3:$3,0)),".","")),0)</f>
        <v>0</v>
      </c>
      <c r="I121" s="24" t="n">
        <f aca="false">D121+E121+F121+G121+H121</f>
        <v>0</v>
      </c>
      <c r="J121" s="23" t="n">
        <f aca="false">D121</f>
        <v>0</v>
      </c>
      <c r="K121" s="23" t="n">
        <f aca="false">IFERROR(VALUE(SUBSTITUTE(INDEX('Paste BPG'!$A:$Z,MATCH($B121,'Paste BPG'!$C:$C,0),MATCH("KUITANSI",'Paste BPG'!$3:$3,0)),".","")),0)</f>
        <v>0</v>
      </c>
      <c r="L121" s="24" t="n">
        <f aca="false">J121+K121</f>
        <v>0</v>
      </c>
    </row>
    <row r="122" customFormat="false" ht="17.25" hidden="false" customHeight="true" outlineLevel="0" collapsed="false">
      <c r="A122" s="19" t="n">
        <v>111</v>
      </c>
      <c r="B122" s="20" t="s">
        <v>243</v>
      </c>
      <c r="C122" s="21" t="s">
        <v>244</v>
      </c>
      <c r="D122" s="23" t="n">
        <f aca="false">IFERROR(VALUE(SUBSTITUTE(INDEX('Paste BPG'!$A:$Z,MATCH($B122,'Paste BPG'!$C:$C,0),MATCH("BP UP/TUP",'Paste BPG'!$3:$3,0)),".","")),0)</f>
        <v>0</v>
      </c>
      <c r="E122" s="23" t="n">
        <f aca="false">IFERROR(VALUE(SUBSTITUTE(INDEX('Paste BPG'!$A:$Z,MATCH($B122,'Paste BPG'!$C:$C,0),MATCH("BP LS BENDAHARA",'Paste BPG'!$3:$3,0)),".","")),0)</f>
        <v>0</v>
      </c>
      <c r="F122" s="23" t="n">
        <f aca="false">IFERROR(VALUE(SUBSTITUTE(INDEX('Paste BPG'!$A:$Z,MATCH($B122,'Paste BPG'!$C:$C,0),MATCH("BP PAJAK",'Paste BPG'!$3:$3,0)),".","")),0)</f>
        <v>0</v>
      </c>
      <c r="G122" s="23" t="n">
        <f aca="false">IFERROR(VALUE(SUBSTITUTE(INDEX('Paste BPG'!$A:$Z,MATCH($B122,'Paste BPG'!$C:$C,0),MATCH("BP HIBAH",'Paste BPG'!$3:$3,0)),".","")),0)</f>
        <v>0</v>
      </c>
      <c r="H122" s="23" t="n">
        <f aca="false">IFERROR(VALUE(SUBSTITUTE(INDEX('Paste BPG'!$A:$Z,MATCH($B122,'Paste BPG'!$C:$C,0),MATCH("BP LAIN-LAIN",'Paste BPG'!$3:$3,0)),".","")),0)</f>
        <v>0</v>
      </c>
      <c r="I122" s="24" t="n">
        <f aca="false">D122+E122+F122+G122+H122</f>
        <v>0</v>
      </c>
      <c r="J122" s="23" t="n">
        <f aca="false">D122</f>
        <v>0</v>
      </c>
      <c r="K122" s="23" t="n">
        <f aca="false">IFERROR(VALUE(SUBSTITUTE(INDEX('Paste BPG'!$A:$Z,MATCH($B122,'Paste BPG'!$C:$C,0),MATCH("KUITANSI",'Paste BPG'!$3:$3,0)),".","")),0)</f>
        <v>0</v>
      </c>
      <c r="L122" s="24" t="n">
        <f aca="false">J122+K122</f>
        <v>0</v>
      </c>
    </row>
    <row r="123" customFormat="false" ht="15.75" hidden="false" customHeight="true" outlineLevel="0" collapsed="false">
      <c r="A123" s="19" t="n">
        <v>112</v>
      </c>
      <c r="B123" s="20" t="s">
        <v>245</v>
      </c>
      <c r="C123" s="21" t="s">
        <v>244</v>
      </c>
      <c r="D123" s="23" t="n">
        <f aca="false">IFERROR(VALUE(SUBSTITUTE(INDEX('Paste BPG'!$A:$Z,MATCH($B123,'Paste BPG'!$C:$C,0),MATCH("BP UP/TUP",'Paste BPG'!$3:$3,0)),".","")),0)</f>
        <v>0</v>
      </c>
      <c r="E123" s="23" t="n">
        <f aca="false">IFERROR(VALUE(SUBSTITUTE(INDEX('Paste BPG'!$A:$Z,MATCH($B123,'Paste BPG'!$C:$C,0),MATCH("BP LS BENDAHARA",'Paste BPG'!$3:$3,0)),".","")),0)</f>
        <v>0</v>
      </c>
      <c r="F123" s="23" t="n">
        <f aca="false">IFERROR(VALUE(SUBSTITUTE(INDEX('Paste BPG'!$A:$Z,MATCH($B123,'Paste BPG'!$C:$C,0),MATCH("BP PAJAK",'Paste BPG'!$3:$3,0)),".","")),0)</f>
        <v>0</v>
      </c>
      <c r="G123" s="23" t="n">
        <f aca="false">IFERROR(VALUE(SUBSTITUTE(INDEX('Paste BPG'!$A:$Z,MATCH($B123,'Paste BPG'!$C:$C,0),MATCH("BP HIBAH",'Paste BPG'!$3:$3,0)),".","")),0)</f>
        <v>0</v>
      </c>
      <c r="H123" s="23" t="n">
        <f aca="false">IFERROR(VALUE(SUBSTITUTE(INDEX('Paste BPG'!$A:$Z,MATCH($B123,'Paste BPG'!$C:$C,0),MATCH("BP LAIN-LAIN",'Paste BPG'!$3:$3,0)),".","")),0)</f>
        <v>0</v>
      </c>
      <c r="I123" s="24" t="n">
        <f aca="false">D123+E123+F123+G123+H123</f>
        <v>0</v>
      </c>
      <c r="J123" s="23" t="n">
        <f aca="false">D123</f>
        <v>0</v>
      </c>
      <c r="K123" s="23" t="n">
        <f aca="false">IFERROR(VALUE(SUBSTITUTE(INDEX('Paste BPG'!$A:$Z,MATCH($B123,'Paste BPG'!$C:$C,0),MATCH("KUITANSI",'Paste BPG'!$3:$3,0)),".","")),0)</f>
        <v>0</v>
      </c>
      <c r="L123" s="24" t="n">
        <f aca="false">J123+K123</f>
        <v>0</v>
      </c>
    </row>
    <row r="124" customFormat="false" ht="15.75" hidden="false" customHeight="true" outlineLevel="0" collapsed="false">
      <c r="A124" s="19" t="n">
        <v>113</v>
      </c>
      <c r="B124" s="20" t="s">
        <v>246</v>
      </c>
      <c r="C124" s="21" t="s">
        <v>244</v>
      </c>
      <c r="D124" s="23" t="n">
        <f aca="false">IFERROR(VALUE(SUBSTITUTE(INDEX('Paste BPG'!$A:$Z,MATCH($B124,'Paste BPG'!$C:$C,0),MATCH("BP UP/TUP",'Paste BPG'!$3:$3,0)),".","")),0)</f>
        <v>0</v>
      </c>
      <c r="E124" s="23" t="n">
        <f aca="false">IFERROR(VALUE(SUBSTITUTE(INDEX('Paste BPG'!$A:$Z,MATCH($B124,'Paste BPG'!$C:$C,0),MATCH("BP LS BENDAHARA",'Paste BPG'!$3:$3,0)),".","")),0)</f>
        <v>0</v>
      </c>
      <c r="F124" s="23" t="n">
        <f aca="false">IFERROR(VALUE(SUBSTITUTE(INDEX('Paste BPG'!$A:$Z,MATCH($B124,'Paste BPG'!$C:$C,0),MATCH("BP PAJAK",'Paste BPG'!$3:$3,0)),".","")),0)</f>
        <v>0</v>
      </c>
      <c r="G124" s="23" t="n">
        <f aca="false">IFERROR(VALUE(SUBSTITUTE(INDEX('Paste BPG'!$A:$Z,MATCH($B124,'Paste BPG'!$C:$C,0),MATCH("BP HIBAH",'Paste BPG'!$3:$3,0)),".","")),0)</f>
        <v>0</v>
      </c>
      <c r="H124" s="23" t="n">
        <f aca="false">IFERROR(VALUE(SUBSTITUTE(INDEX('Paste BPG'!$A:$Z,MATCH($B124,'Paste BPG'!$C:$C,0),MATCH("BP LAIN-LAIN",'Paste BPG'!$3:$3,0)),".","")),0)</f>
        <v>0</v>
      </c>
      <c r="I124" s="24" t="n">
        <f aca="false">D124+E124+F124+G124+H124</f>
        <v>0</v>
      </c>
      <c r="J124" s="23" t="n">
        <f aca="false">D124</f>
        <v>0</v>
      </c>
      <c r="K124" s="23" t="n">
        <f aca="false">IFERROR(VALUE(SUBSTITUTE(INDEX('Paste BPG'!$A:$Z,MATCH($B124,'Paste BPG'!$C:$C,0),MATCH("KUITANSI",'Paste BPG'!$3:$3,0)),".","")),0)</f>
        <v>0</v>
      </c>
      <c r="L124" s="24" t="n">
        <f aca="false">J124+K124</f>
        <v>0</v>
      </c>
    </row>
    <row r="125" customFormat="false" ht="15.75" hidden="false" customHeight="true" outlineLevel="0" collapsed="false">
      <c r="A125" s="19" t="n">
        <v>114</v>
      </c>
      <c r="B125" s="20" t="s">
        <v>247</v>
      </c>
      <c r="C125" s="21" t="s">
        <v>248</v>
      </c>
      <c r="D125" s="23" t="n">
        <f aca="false">IFERROR(VALUE(SUBSTITUTE(INDEX('Paste BPG'!$A:$Z,MATCH($B125,'Paste BPG'!$C:$C,0),MATCH("BP UP/TUP",'Paste BPG'!$3:$3,0)),".","")),0)</f>
        <v>0</v>
      </c>
      <c r="E125" s="23" t="n">
        <f aca="false">IFERROR(VALUE(SUBSTITUTE(INDEX('Paste BPG'!$A:$Z,MATCH($B125,'Paste BPG'!$C:$C,0),MATCH("BP LS BENDAHARA",'Paste BPG'!$3:$3,0)),".","")),0)</f>
        <v>0</v>
      </c>
      <c r="F125" s="23" t="n">
        <f aca="false">IFERROR(VALUE(SUBSTITUTE(INDEX('Paste BPG'!$A:$Z,MATCH($B125,'Paste BPG'!$C:$C,0),MATCH("BP PAJAK",'Paste BPG'!$3:$3,0)),".","")),0)</f>
        <v>0</v>
      </c>
      <c r="G125" s="23" t="n">
        <f aca="false">IFERROR(VALUE(SUBSTITUTE(INDEX('Paste BPG'!$A:$Z,MATCH($B125,'Paste BPG'!$C:$C,0),MATCH("BP HIBAH",'Paste BPG'!$3:$3,0)),".","")),0)</f>
        <v>0</v>
      </c>
      <c r="H125" s="23" t="n">
        <f aca="false">IFERROR(VALUE(SUBSTITUTE(INDEX('Paste BPG'!$A:$Z,MATCH($B125,'Paste BPG'!$C:$C,0),MATCH("BP LAIN-LAIN",'Paste BPG'!$3:$3,0)),".","")),0)</f>
        <v>0</v>
      </c>
      <c r="I125" s="24" t="n">
        <f aca="false">D125+E125+F125+G125+H125</f>
        <v>0</v>
      </c>
      <c r="J125" s="23" t="n">
        <f aca="false">D125</f>
        <v>0</v>
      </c>
      <c r="K125" s="23" t="n">
        <f aca="false">IFERROR(VALUE(SUBSTITUTE(INDEX('Paste BPG'!$A:$Z,MATCH($B125,'Paste BPG'!$C:$C,0),MATCH("KUITANSI",'Paste BPG'!$3:$3,0)),".","")),0)</f>
        <v>0</v>
      </c>
      <c r="L125" s="24" t="n">
        <f aca="false">J125+K125</f>
        <v>0</v>
      </c>
    </row>
    <row r="126" customFormat="false" ht="27.75" hidden="false" customHeight="true" outlineLevel="0" collapsed="false">
      <c r="A126" s="19" t="n">
        <v>115</v>
      </c>
      <c r="B126" s="20" t="s">
        <v>249</v>
      </c>
      <c r="C126" s="21" t="s">
        <v>250</v>
      </c>
      <c r="D126" s="23" t="n">
        <f aca="false">IFERROR(VALUE(SUBSTITUTE(INDEX('Paste BPG'!$A:$Z,MATCH($B126,'Paste BPG'!$C:$C,0),MATCH("BP UP/TUP",'Paste BPG'!$3:$3,0)),".","")),0)</f>
        <v>0</v>
      </c>
      <c r="E126" s="23" t="n">
        <f aca="false">IFERROR(VALUE(SUBSTITUTE(INDEX('Paste BPG'!$A:$Z,MATCH($B126,'Paste BPG'!$C:$C,0),MATCH("BP LS BENDAHARA",'Paste BPG'!$3:$3,0)),".","")),0)</f>
        <v>0</v>
      </c>
      <c r="F126" s="23" t="n">
        <f aca="false">IFERROR(VALUE(SUBSTITUTE(INDEX('Paste BPG'!$A:$Z,MATCH($B126,'Paste BPG'!$C:$C,0),MATCH("BP PAJAK",'Paste BPG'!$3:$3,0)),".","")),0)</f>
        <v>0</v>
      </c>
      <c r="G126" s="23" t="n">
        <f aca="false">IFERROR(VALUE(SUBSTITUTE(INDEX('Paste BPG'!$A:$Z,MATCH($B126,'Paste BPG'!$C:$C,0),MATCH("BP HIBAH",'Paste BPG'!$3:$3,0)),".","")),0)</f>
        <v>0</v>
      </c>
      <c r="H126" s="23" t="n">
        <f aca="false">IFERROR(VALUE(SUBSTITUTE(INDEX('Paste BPG'!$A:$Z,MATCH($B126,'Paste BPG'!$C:$C,0),MATCH("BP LAIN-LAIN",'Paste BPG'!$3:$3,0)),".","")),0)</f>
        <v>0</v>
      </c>
      <c r="I126" s="24" t="n">
        <f aca="false">D126+E126+F126+G126+H126</f>
        <v>0</v>
      </c>
      <c r="J126" s="23" t="n">
        <f aca="false">D126</f>
        <v>0</v>
      </c>
      <c r="K126" s="23" t="n">
        <f aca="false">IFERROR(VALUE(SUBSTITUTE(INDEX('Paste BPG'!$A:$Z,MATCH($B126,'Paste BPG'!$C:$C,0),MATCH("KUITANSI",'Paste BPG'!$3:$3,0)),".","")),0)</f>
        <v>0</v>
      </c>
      <c r="L126" s="24" t="n">
        <f aca="false">J126+K126</f>
        <v>0</v>
      </c>
    </row>
    <row r="127" customFormat="false" ht="28.5" hidden="false" customHeight="true" outlineLevel="0" collapsed="false">
      <c r="A127" s="19" t="n">
        <v>116</v>
      </c>
      <c r="B127" s="20" t="s">
        <v>251</v>
      </c>
      <c r="C127" s="21" t="s">
        <v>250</v>
      </c>
      <c r="D127" s="23" t="n">
        <f aca="false">IFERROR(VALUE(SUBSTITUTE(INDEX('Paste BPG'!$A:$Z,MATCH($B127,'Paste BPG'!$C:$C,0),MATCH("BP UP/TUP",'Paste BPG'!$3:$3,0)),".","")),0)</f>
        <v>0</v>
      </c>
      <c r="E127" s="23" t="n">
        <f aca="false">IFERROR(VALUE(SUBSTITUTE(INDEX('Paste BPG'!$A:$Z,MATCH($B127,'Paste BPG'!$C:$C,0),MATCH("BP LS BENDAHARA",'Paste BPG'!$3:$3,0)),".","")),0)</f>
        <v>0</v>
      </c>
      <c r="F127" s="23" t="n">
        <f aca="false">IFERROR(VALUE(SUBSTITUTE(INDEX('Paste BPG'!$A:$Z,MATCH($B127,'Paste BPG'!$C:$C,0),MATCH("BP PAJAK",'Paste BPG'!$3:$3,0)),".","")),0)</f>
        <v>0</v>
      </c>
      <c r="G127" s="23" t="n">
        <f aca="false">IFERROR(VALUE(SUBSTITUTE(INDEX('Paste BPG'!$A:$Z,MATCH($B127,'Paste BPG'!$C:$C,0),MATCH("BP HIBAH",'Paste BPG'!$3:$3,0)),".","")),0)</f>
        <v>0</v>
      </c>
      <c r="H127" s="23" t="n">
        <f aca="false">IFERROR(VALUE(SUBSTITUTE(INDEX('Paste BPG'!$A:$Z,MATCH($B127,'Paste BPG'!$C:$C,0),MATCH("BP LAIN-LAIN",'Paste BPG'!$3:$3,0)),".","")),0)</f>
        <v>0</v>
      </c>
      <c r="I127" s="24" t="n">
        <f aca="false">D127+E127+F127+G127+H127</f>
        <v>0</v>
      </c>
      <c r="J127" s="23" t="n">
        <f aca="false">D127</f>
        <v>0</v>
      </c>
      <c r="K127" s="23" t="n">
        <f aca="false">IFERROR(VALUE(SUBSTITUTE(INDEX('Paste BPG'!$A:$Z,MATCH($B127,'Paste BPG'!$C:$C,0),MATCH("KUITANSI",'Paste BPG'!$3:$3,0)),".","")),0)</f>
        <v>0</v>
      </c>
      <c r="L127" s="24" t="n">
        <f aca="false">J127+K127</f>
        <v>0</v>
      </c>
    </row>
    <row r="128" customFormat="false" ht="28.5" hidden="false" customHeight="true" outlineLevel="0" collapsed="false">
      <c r="A128" s="19" t="n">
        <v>117</v>
      </c>
      <c r="B128" s="20" t="s">
        <v>252</v>
      </c>
      <c r="C128" s="21" t="s">
        <v>250</v>
      </c>
      <c r="D128" s="23" t="n">
        <f aca="false">IFERROR(VALUE(SUBSTITUTE(INDEX('Paste BPG'!$A:$Z,MATCH($B128,'Paste BPG'!$C:$C,0),MATCH("BP UP/TUP",'Paste BPG'!$3:$3,0)),".","")),0)</f>
        <v>0</v>
      </c>
      <c r="E128" s="23" t="n">
        <f aca="false">IFERROR(VALUE(SUBSTITUTE(INDEX('Paste BPG'!$A:$Z,MATCH($B128,'Paste BPG'!$C:$C,0),MATCH("BP LS BENDAHARA",'Paste BPG'!$3:$3,0)),".","")),0)</f>
        <v>0</v>
      </c>
      <c r="F128" s="23" t="n">
        <f aca="false">IFERROR(VALUE(SUBSTITUTE(INDEX('Paste BPG'!$A:$Z,MATCH($B128,'Paste BPG'!$C:$C,0),MATCH("BP PAJAK",'Paste BPG'!$3:$3,0)),".","")),0)</f>
        <v>0</v>
      </c>
      <c r="G128" s="23" t="n">
        <f aca="false">IFERROR(VALUE(SUBSTITUTE(INDEX('Paste BPG'!$A:$Z,MATCH($B128,'Paste BPG'!$C:$C,0),MATCH("BP HIBAH",'Paste BPG'!$3:$3,0)),".","")),0)</f>
        <v>0</v>
      </c>
      <c r="H128" s="23" t="n">
        <f aca="false">IFERROR(VALUE(SUBSTITUTE(INDEX('Paste BPG'!$A:$Z,MATCH($B128,'Paste BPG'!$C:$C,0),MATCH("BP LAIN-LAIN",'Paste BPG'!$3:$3,0)),".","")),0)</f>
        <v>0</v>
      </c>
      <c r="I128" s="24" t="n">
        <f aca="false">D128+E128+F128+G128+H128</f>
        <v>0</v>
      </c>
      <c r="J128" s="23" t="n">
        <f aca="false">D128</f>
        <v>0</v>
      </c>
      <c r="K128" s="23" t="n">
        <f aca="false">IFERROR(VALUE(SUBSTITUTE(INDEX('Paste BPG'!$A:$Z,MATCH($B128,'Paste BPG'!$C:$C,0),MATCH("KUITANSI",'Paste BPG'!$3:$3,0)),".","")),0)</f>
        <v>0</v>
      </c>
      <c r="L128" s="24" t="n">
        <f aca="false">J128+K128</f>
        <v>0</v>
      </c>
    </row>
    <row r="129" customFormat="false" ht="28.5" hidden="false" customHeight="true" outlineLevel="0" collapsed="false">
      <c r="A129" s="19" t="n">
        <v>118</v>
      </c>
      <c r="B129" s="20" t="s">
        <v>253</v>
      </c>
      <c r="C129" s="21" t="s">
        <v>250</v>
      </c>
      <c r="D129" s="23" t="n">
        <f aca="false">IFERROR(VALUE(SUBSTITUTE(INDEX('Paste BPG'!$A:$Z,MATCH($B129,'Paste BPG'!$C:$C,0),MATCH("BP UP/TUP",'Paste BPG'!$3:$3,0)),".","")),0)</f>
        <v>0</v>
      </c>
      <c r="E129" s="23" t="n">
        <f aca="false">IFERROR(VALUE(SUBSTITUTE(INDEX('Paste BPG'!$A:$Z,MATCH($B129,'Paste BPG'!$C:$C,0),MATCH("BP LS BENDAHARA",'Paste BPG'!$3:$3,0)),".","")),0)</f>
        <v>0</v>
      </c>
      <c r="F129" s="23" t="n">
        <f aca="false">IFERROR(VALUE(SUBSTITUTE(INDEX('Paste BPG'!$A:$Z,MATCH($B129,'Paste BPG'!$C:$C,0),MATCH("BP PAJAK",'Paste BPG'!$3:$3,0)),".","")),0)</f>
        <v>0</v>
      </c>
      <c r="G129" s="23" t="n">
        <f aca="false">IFERROR(VALUE(SUBSTITUTE(INDEX('Paste BPG'!$A:$Z,MATCH($B129,'Paste BPG'!$C:$C,0),MATCH("BP HIBAH",'Paste BPG'!$3:$3,0)),".","")),0)</f>
        <v>0</v>
      </c>
      <c r="H129" s="23" t="n">
        <f aca="false">IFERROR(VALUE(SUBSTITUTE(INDEX('Paste BPG'!$A:$Z,MATCH($B129,'Paste BPG'!$C:$C,0),MATCH("BP LAIN-LAIN",'Paste BPG'!$3:$3,0)),".","")),0)</f>
        <v>0</v>
      </c>
      <c r="I129" s="24" t="n">
        <f aca="false">D129+E129+F129+G129+H129</f>
        <v>0</v>
      </c>
      <c r="J129" s="23" t="n">
        <f aca="false">D129</f>
        <v>0</v>
      </c>
      <c r="K129" s="23" t="n">
        <f aca="false">IFERROR(VALUE(SUBSTITUTE(INDEX('Paste BPG'!$A:$Z,MATCH($B129,'Paste BPG'!$C:$C,0),MATCH("KUITANSI",'Paste BPG'!$3:$3,0)),".","")),0)</f>
        <v>0</v>
      </c>
      <c r="L129" s="24" t="n">
        <f aca="false">J129+K129</f>
        <v>0</v>
      </c>
    </row>
    <row r="130" customFormat="false" ht="15.75" hidden="false" customHeight="true" outlineLevel="0" collapsed="false">
      <c r="A130" s="15"/>
      <c r="B130" s="28" t="n">
        <v>143</v>
      </c>
      <c r="C130" s="17" t="s">
        <v>254</v>
      </c>
      <c r="D130" s="18" t="n">
        <f aca="false">D131+D132</f>
        <v>0</v>
      </c>
      <c r="E130" s="18" t="n">
        <f aca="false">E131+E132</f>
        <v>0</v>
      </c>
      <c r="F130" s="18" t="n">
        <f aca="false">F131+F132</f>
        <v>0</v>
      </c>
      <c r="G130" s="18" t="n">
        <f aca="false">G131+G132</f>
        <v>0</v>
      </c>
      <c r="H130" s="18" t="n">
        <f aca="false">H131+H132</f>
        <v>0</v>
      </c>
      <c r="I130" s="18" t="n">
        <f aca="false">SUM(D130:H130)</f>
        <v>0</v>
      </c>
      <c r="J130" s="32" t="n">
        <f aca="false">SUM(J131+J132)</f>
        <v>0</v>
      </c>
      <c r="K130" s="32" t="n">
        <f aca="false">SUM(K131+K132)</f>
        <v>0</v>
      </c>
      <c r="L130" s="18" t="n">
        <f aca="false">J130+K130</f>
        <v>0</v>
      </c>
    </row>
    <row r="131" customFormat="false" ht="28.5" hidden="false" customHeight="true" outlineLevel="0" collapsed="false">
      <c r="A131" s="19" t="n">
        <v>119</v>
      </c>
      <c r="B131" s="20" t="s">
        <v>255</v>
      </c>
      <c r="C131" s="21" t="s">
        <v>256</v>
      </c>
      <c r="D131" s="23" t="n">
        <f aca="false">IFERROR(VALUE(SUBSTITUTE(INDEX('Paste BPG'!$A:$Z,MATCH($B131,'Paste BPG'!$C:$C,0),MATCH("BP UP/TUP",'Paste BPG'!$3:$3,0)),".","")),0)</f>
        <v>0</v>
      </c>
      <c r="E131" s="23" t="n">
        <f aca="false">IFERROR(VALUE(SUBSTITUTE(INDEX('Paste BPG'!$A:$Z,MATCH($B131,'Paste BPG'!$C:$C,0),MATCH("BP LS BENDAHARA",'Paste BPG'!$3:$3,0)),".","")),0)</f>
        <v>0</v>
      </c>
      <c r="F131" s="23" t="n">
        <f aca="false">IFERROR(VALUE(SUBSTITUTE(INDEX('Paste BPG'!$A:$Z,MATCH($B131,'Paste BPG'!$C:$C,0),MATCH("BP PAJAK",'Paste BPG'!$3:$3,0)),".","")),0)</f>
        <v>0</v>
      </c>
      <c r="G131" s="23" t="n">
        <f aca="false">IFERROR(VALUE(SUBSTITUTE(INDEX('Paste BPG'!$A:$Z,MATCH($B131,'Paste BPG'!$C:$C,0),MATCH("BP HIBAH",'Paste BPG'!$3:$3,0)),".","")),0)</f>
        <v>0</v>
      </c>
      <c r="H131" s="23" t="n">
        <f aca="false">IFERROR(VALUE(SUBSTITUTE(INDEX('Paste BPG'!$A:$Z,MATCH($B131,'Paste BPG'!$C:$C,0),MATCH("BP LAIN-LAIN",'Paste BPG'!$3:$3,0)),".","")),0)</f>
        <v>0</v>
      </c>
      <c r="I131" s="24" t="n">
        <f aca="false">D131+E131+F131+G131+H131</f>
        <v>0</v>
      </c>
      <c r="J131" s="23" t="n">
        <f aca="false">D131</f>
        <v>0</v>
      </c>
      <c r="K131" s="23" t="n">
        <f aca="false">IFERROR(VALUE(SUBSTITUTE(INDEX('Paste BPG'!$A:$Z,MATCH($B131,'Paste BPG'!$C:$C,0),MATCH("KUITANSI",'Paste BPG'!$3:$3,0)),".","")),0)</f>
        <v>0</v>
      </c>
      <c r="L131" s="24" t="n">
        <f aca="false">J131+K131</f>
        <v>0</v>
      </c>
    </row>
    <row r="132" customFormat="false" ht="28.5" hidden="false" customHeight="true" outlineLevel="0" collapsed="false">
      <c r="A132" s="19" t="n">
        <v>120</v>
      </c>
      <c r="B132" s="20" t="s">
        <v>257</v>
      </c>
      <c r="C132" s="21" t="s">
        <v>258</v>
      </c>
      <c r="D132" s="23" t="n">
        <f aca="false">IFERROR(VALUE(SUBSTITUTE(INDEX('Paste BPG'!$A:$Z,MATCH($B132,'Paste BPG'!$C:$C,0),MATCH("BP UP/TUP",'Paste BPG'!$3:$3,0)),".","")),0)</f>
        <v>0</v>
      </c>
      <c r="E132" s="23" t="n">
        <f aca="false">IFERROR(VALUE(SUBSTITUTE(INDEX('Paste BPG'!$A:$Z,MATCH($B132,'Paste BPG'!$C:$C,0),MATCH("BP LS BENDAHARA",'Paste BPG'!$3:$3,0)),".","")),0)</f>
        <v>0</v>
      </c>
      <c r="F132" s="23" t="n">
        <f aca="false">IFERROR(VALUE(SUBSTITUTE(INDEX('Paste BPG'!$A:$Z,MATCH($B132,'Paste BPG'!$C:$C,0),MATCH("BP PAJAK",'Paste BPG'!$3:$3,0)),".","")),0)</f>
        <v>0</v>
      </c>
      <c r="G132" s="23" t="n">
        <f aca="false">IFERROR(VALUE(SUBSTITUTE(INDEX('Paste BPG'!$A:$Z,MATCH($B132,'Paste BPG'!$C:$C,0),MATCH("BP HIBAH",'Paste BPG'!$3:$3,0)),".","")),0)</f>
        <v>0</v>
      </c>
      <c r="H132" s="23" t="n">
        <f aca="false">IFERROR(VALUE(SUBSTITUTE(INDEX('Paste BPG'!$A:$Z,MATCH($B132,'Paste BPG'!$C:$C,0),MATCH("BP LAIN-LAIN",'Paste BPG'!$3:$3,0)),".","")),0)</f>
        <v>0</v>
      </c>
      <c r="I132" s="24" t="n">
        <f aca="false">D132+E132+F132+G132+H132</f>
        <v>0</v>
      </c>
      <c r="J132" s="23" t="n">
        <f aca="false">D132</f>
        <v>0</v>
      </c>
      <c r="K132" s="23" t="n">
        <f aca="false">IFERROR(VALUE(SUBSTITUTE(INDEX('Paste BPG'!$A:$Z,MATCH($B132,'Paste BPG'!$C:$C,0),MATCH("KUITANSI",'Paste BPG'!$3:$3,0)),".","")),0)</f>
        <v>0</v>
      </c>
      <c r="L132" s="24" t="n">
        <f aca="false">J132+K132</f>
        <v>0</v>
      </c>
    </row>
    <row r="133" customFormat="false" ht="15.75" hidden="false" customHeight="true" outlineLevel="0" collapsed="false">
      <c r="A133" s="15"/>
      <c r="B133" s="28" t="s">
        <v>259</v>
      </c>
      <c r="C133" s="17" t="s">
        <v>260</v>
      </c>
      <c r="D133" s="18" t="n">
        <f aca="false">SUM(D134)</f>
        <v>0</v>
      </c>
      <c r="E133" s="18" t="n">
        <f aca="false">SUM(E134)</f>
        <v>0</v>
      </c>
      <c r="F133" s="18" t="n">
        <f aca="false">SUM(F134)</f>
        <v>0</v>
      </c>
      <c r="G133" s="18" t="n">
        <f aca="false">SUM(G134)</f>
        <v>0</v>
      </c>
      <c r="H133" s="18" t="n">
        <f aca="false">SUM(H134)</f>
        <v>0</v>
      </c>
      <c r="I133" s="18" t="n">
        <f aca="false">D133+E133+F133+H133</f>
        <v>0</v>
      </c>
      <c r="J133" s="32" t="n">
        <f aca="false">SUM(J134)</f>
        <v>0</v>
      </c>
      <c r="K133" s="32" t="n">
        <f aca="false">SUM(K134)</f>
        <v>0</v>
      </c>
      <c r="L133" s="18" t="n">
        <f aca="false">J133+K133</f>
        <v>0</v>
      </c>
    </row>
    <row r="134" customFormat="false" ht="28.5" hidden="false" customHeight="true" outlineLevel="0" collapsed="false">
      <c r="A134" s="19" t="n">
        <v>121</v>
      </c>
      <c r="B134" s="20" t="s">
        <v>261</v>
      </c>
      <c r="C134" s="21" t="s">
        <v>262</v>
      </c>
      <c r="D134" s="23" t="n">
        <f aca="false">IFERROR(VALUE(SUBSTITUTE(INDEX('Paste BPG'!$A:$Z,MATCH($B134,'Paste BPG'!$C:$C,0),MATCH("BP UP/TUP",'Paste BPG'!$3:$3,0)),".","")),0)</f>
        <v>0</v>
      </c>
      <c r="E134" s="23" t="n">
        <f aca="false">IFERROR(VALUE(SUBSTITUTE(INDEX('Paste BPG'!$A:$Z,MATCH($B134,'Paste BPG'!$C:$C,0),MATCH("BP LS BENDAHARA",'Paste BPG'!$3:$3,0)),".","")),0)</f>
        <v>0</v>
      </c>
      <c r="F134" s="23" t="n">
        <f aca="false">IFERROR(VALUE(SUBSTITUTE(INDEX('Paste BPG'!$A:$Z,MATCH($B134,'Paste BPG'!$C:$C,0),MATCH("BP PAJAK",'Paste BPG'!$3:$3,0)),".","")),0)</f>
        <v>0</v>
      </c>
      <c r="G134" s="23" t="n">
        <f aca="false">IFERROR(VALUE(SUBSTITUTE(INDEX('Paste BPG'!$A:$Z,MATCH($B134,'Paste BPG'!$C:$C,0),MATCH("BP HIBAH",'Paste BPG'!$3:$3,0)),".","")),0)</f>
        <v>0</v>
      </c>
      <c r="H134" s="23" t="n">
        <f aca="false">IFERROR(VALUE(SUBSTITUTE(INDEX('Paste BPG'!$A:$Z,MATCH($B134,'Paste BPG'!$C:$C,0),MATCH("BP LAIN-LAIN",'Paste BPG'!$3:$3,0)),".","")),0)</f>
        <v>0</v>
      </c>
      <c r="I134" s="24" t="n">
        <f aca="false">D134+E134+F134+G134+H134</f>
        <v>0</v>
      </c>
      <c r="J134" s="23" t="n">
        <f aca="false">D134</f>
        <v>0</v>
      </c>
      <c r="K134" s="23" t="n">
        <f aca="false">IFERROR(VALUE(SUBSTITUTE(INDEX('Paste BPG'!$A:$Z,MATCH($B134,'Paste BPG'!$C:$C,0),MATCH("KUITANSI",'Paste BPG'!$3:$3,0)),".","")),0)</f>
        <v>0</v>
      </c>
      <c r="L134" s="24" t="n">
        <f aca="false">J134+K134</f>
        <v>0</v>
      </c>
    </row>
    <row r="135" customFormat="false" ht="31.5" hidden="false" customHeight="true" outlineLevel="0" collapsed="false">
      <c r="A135" s="15"/>
      <c r="B135" s="28" t="n">
        <v>145</v>
      </c>
      <c r="C135" s="17" t="s">
        <v>263</v>
      </c>
      <c r="D135" s="18" t="n">
        <f aca="false">SUM(D136+D137+D138+D139+D140+D141+D142+D143+D144+D145+D146+D147+D148+D149+D150+D151+D152+D153+D154+D155+D156+D157+D158+D159+D160+D161+D162+D163+D164+D165+D166+D167+D168+D169)</f>
        <v>0</v>
      </c>
      <c r="E135" s="18" t="n">
        <f aca="false">SUM(E136+E137+E138+E139+E140+E141+E142+E143+E144+E145+E146+E147+E148+E149+E150+E151+E152+E153+E154+E155+E156+E157+E158+E159+E160+E161+E162+E163+E164+E165+E166+E167+E168+E169)</f>
        <v>0</v>
      </c>
      <c r="F135" s="18" t="n">
        <f aca="false">SUM(F136+F137+F138+F139+F140+F141+F142+F143+F144+F145+F146+F147+F148+F149+F150+F151+F152+F153+F154+F155+F156+F157+F158+F159+F160+F161+F162+F163+F164+F165+F166+F167+F168+F169)</f>
        <v>0</v>
      </c>
      <c r="G135" s="18" t="n">
        <f aca="false">SUM(G136+G137+G138+G139+G140+G141+G142+G143+G144+G145+G146+G147+G148+G149+G150+G151+G152+G153+G154+G155+G156+G157+G158+G159+G160+G161+G162+G163+G164+G165+G166+G167+G168+G169)</f>
        <v>0</v>
      </c>
      <c r="H135" s="18" t="n">
        <f aca="false">SUM(H136+H137+H138+H139+H140+H141+H142+H143+H144+H145+H146+H147+H148+H149+H150+H151+H152+H153+H154+H155+H156+H157+H158+H159+H160+H161+H162+H163+H164+H165+H166+H167+H168+H169)</f>
        <v>0</v>
      </c>
      <c r="I135" s="18" t="n">
        <f aca="false">D135+E135+F135+G135+H135</f>
        <v>0</v>
      </c>
      <c r="J135" s="18" t="n">
        <f aca="false">SUM(J136+J137+J138+J139+J140+J141+J142+J143+J144+J145+J146+J147+J148+J149+J150+J151+J152+J153+J154+J155+J156+J157+J158+J159+J160+J161+J162+J163+J164+J165+J166+J167+J168+J169)</f>
        <v>0</v>
      </c>
      <c r="K135" s="18" t="n">
        <f aca="false">SUM(K136+K137+K138+K139+K140+K141+K142+K143+K144+K145+K146+K147+K148+K149+K150+K151+K152+K153+K154+K155+K156+K157+K158+K159+K160+K161+K162+K163+K164+K165+K166+K167+K168+K169)</f>
        <v>0</v>
      </c>
      <c r="L135" s="18" t="n">
        <f aca="false">J135+K135</f>
        <v>0</v>
      </c>
    </row>
    <row r="136" customFormat="false" ht="28.5" hidden="false" customHeight="true" outlineLevel="0" collapsed="false">
      <c r="A136" s="20" t="n">
        <v>122</v>
      </c>
      <c r="B136" s="20" t="s">
        <v>264</v>
      </c>
      <c r="C136" s="33" t="s">
        <v>265</v>
      </c>
      <c r="D136" s="34" t="n">
        <f aca="false">IFERROR(VALUE(SUBSTITUTE(INDEX('Paste BPG'!$A:$Z,MATCH($B136,'Paste BPG'!$C:$C,0),MATCH("BP UP/TUP",'Paste BPG'!$3:$3,0)),".","")),0)</f>
        <v>0</v>
      </c>
      <c r="E136" s="34" t="n">
        <f aca="false">IFERROR(VALUE(SUBSTITUTE(INDEX('Paste BPG'!$A:$Z,MATCH($B136,'Paste BPG'!$C:$C,0),MATCH("BP LS BENDAHARA",'Paste BPG'!$3:$3,0)),".","")),0)</f>
        <v>0</v>
      </c>
      <c r="F136" s="23" t="n">
        <f aca="false">IFERROR(VALUE(SUBSTITUTE(INDEX('Paste BPG'!$A:$Z,MATCH($B136,'Paste BPG'!$C:$C,0),MATCH("BP PAJAK",'Paste BPG'!$3:$3,0)),".","")),0)</f>
        <v>0</v>
      </c>
      <c r="G136" s="23" t="n">
        <f aca="false">IFERROR(VALUE(SUBSTITUTE(INDEX('Paste BPG'!$A:$Z,MATCH($B136,'Paste BPG'!$C:$C,0),MATCH("BP HIBAH",'Paste BPG'!$3:$3,0)),".","")),0)</f>
        <v>0</v>
      </c>
      <c r="H136" s="23" t="n">
        <f aca="false">IFERROR(VALUE(SUBSTITUTE(INDEX('Paste BPG'!$A:$Z,MATCH($B136,'Paste BPG'!$C:$C,0),MATCH("BP LAIN-LAIN",'Paste BPG'!$3:$3,0)),".","")),0)</f>
        <v>0</v>
      </c>
      <c r="I136" s="24" t="n">
        <f aca="false">D136+E136+F136+G136+H136</f>
        <v>0</v>
      </c>
      <c r="J136" s="23" t="n">
        <f aca="false">D136</f>
        <v>0</v>
      </c>
      <c r="K136" s="23" t="n">
        <f aca="false">IFERROR(VALUE(SUBSTITUTE(INDEX('Paste BPG'!$A:$Z,MATCH($B136,'Paste BPG'!$C:$C,0),MATCH("KUITANSI",'Paste BPG'!$3:$3,0)),".","")),0)</f>
        <v>0</v>
      </c>
      <c r="L136" s="24" t="n">
        <f aca="false">J136+K136</f>
        <v>0</v>
      </c>
    </row>
    <row r="137" customFormat="false" ht="17.25" hidden="false" customHeight="true" outlineLevel="0" collapsed="false">
      <c r="A137" s="20" t="n">
        <v>123</v>
      </c>
      <c r="B137" s="20" t="s">
        <v>266</v>
      </c>
      <c r="C137" s="35" t="s">
        <v>267</v>
      </c>
      <c r="D137" s="34" t="n">
        <f aca="false">IFERROR(VALUE(SUBSTITUTE(INDEX('Paste BPG'!$A:$Z,MATCH($B137,'Paste BPG'!$C:$C,0),MATCH("BP UP/TUP",'Paste BPG'!$3:$3,0)),".","")),0)</f>
        <v>0</v>
      </c>
      <c r="E137" s="34" t="n">
        <f aca="false">IFERROR(VALUE(SUBSTITUTE(INDEX('Paste BPG'!$A:$Z,MATCH($B137,'Paste BPG'!$C:$C,0),MATCH("BP LS BENDAHARA",'Paste BPG'!$3:$3,0)),".","")),0)</f>
        <v>0</v>
      </c>
      <c r="F137" s="23" t="n">
        <f aca="false">IFERROR(VALUE(SUBSTITUTE(INDEX('Paste BPG'!$A:$Z,MATCH($B137,'Paste BPG'!$C:$C,0),MATCH("BP PAJAK",'Paste BPG'!$3:$3,0)),".","")),0)</f>
        <v>0</v>
      </c>
      <c r="G137" s="23" t="n">
        <f aca="false">IFERROR(VALUE(SUBSTITUTE(INDEX('Paste BPG'!$A:$Z,MATCH($B137,'Paste BPG'!$C:$C,0),MATCH("BP HIBAH",'Paste BPG'!$3:$3,0)),".","")),0)</f>
        <v>0</v>
      </c>
      <c r="H137" s="23" t="n">
        <f aca="false">IFERROR(VALUE(SUBSTITUTE(INDEX('Paste BPG'!$A:$Z,MATCH($B137,'Paste BPG'!$C:$C,0),MATCH("BP LAIN-LAIN",'Paste BPG'!$3:$3,0)),".","")),0)</f>
        <v>0</v>
      </c>
      <c r="I137" s="24" t="n">
        <f aca="false">D137+E137+F137+G137+H137</f>
        <v>0</v>
      </c>
      <c r="J137" s="23" t="n">
        <f aca="false">D137</f>
        <v>0</v>
      </c>
      <c r="K137" s="23" t="n">
        <f aca="false">IFERROR(VALUE(SUBSTITUTE(INDEX('Paste BPG'!$A:$Z,MATCH($B137,'Paste BPG'!$C:$C,0),MATCH("KUITANSI",'Paste BPG'!$3:$3,0)),".","")),0)</f>
        <v>0</v>
      </c>
      <c r="L137" s="24" t="n">
        <f aca="false">J137+K137</f>
        <v>0</v>
      </c>
    </row>
    <row r="138" customFormat="false" ht="28.5" hidden="false" customHeight="true" outlineLevel="0" collapsed="false">
      <c r="A138" s="20" t="n">
        <v>124</v>
      </c>
      <c r="B138" s="20" t="s">
        <v>268</v>
      </c>
      <c r="C138" s="33" t="s">
        <v>269</v>
      </c>
      <c r="D138" s="34" t="n">
        <f aca="false">IFERROR(VALUE(SUBSTITUTE(INDEX('Paste BPG'!$A:$Z,MATCH($B138,'Paste BPG'!$C:$C,0),MATCH("BP UP/TUP",'Paste BPG'!$3:$3,0)),".","")),0)</f>
        <v>0</v>
      </c>
      <c r="E138" s="34" t="n">
        <f aca="false">IFERROR(VALUE(SUBSTITUTE(INDEX('Paste BPG'!$A:$Z,MATCH($B138,'Paste BPG'!$C:$C,0),MATCH("BP LS BENDAHARA",'Paste BPG'!$3:$3,0)),".","")),0)</f>
        <v>0</v>
      </c>
      <c r="F138" s="23" t="n">
        <f aca="false">IFERROR(VALUE(SUBSTITUTE(INDEX('Paste BPG'!$A:$Z,MATCH($B138,'Paste BPG'!$C:$C,0),MATCH("BP PAJAK",'Paste BPG'!$3:$3,0)),".","")),0)</f>
        <v>0</v>
      </c>
      <c r="G138" s="23" t="n">
        <f aca="false">IFERROR(VALUE(SUBSTITUTE(INDEX('Paste BPG'!$A:$Z,MATCH($B138,'Paste BPG'!$C:$C,0),MATCH("BP HIBAH",'Paste BPG'!$3:$3,0)),".","")),0)</f>
        <v>0</v>
      </c>
      <c r="H138" s="23" t="n">
        <f aca="false">IFERROR(VALUE(SUBSTITUTE(INDEX('Paste BPG'!$A:$Z,MATCH($B138,'Paste BPG'!$C:$C,0),MATCH("BP LAIN-LAIN",'Paste BPG'!$3:$3,0)),".","")),0)</f>
        <v>0</v>
      </c>
      <c r="I138" s="24" t="n">
        <f aca="false">D138+E138+F138+G138+H138</f>
        <v>0</v>
      </c>
      <c r="J138" s="23" t="n">
        <f aca="false">D138</f>
        <v>0</v>
      </c>
      <c r="K138" s="23" t="n">
        <f aca="false">IFERROR(VALUE(SUBSTITUTE(INDEX('Paste BPG'!$A:$Z,MATCH($B138,'Paste BPG'!$C:$C,0),MATCH("KUITANSI",'Paste BPG'!$3:$3,0)),".","")),0)</f>
        <v>0</v>
      </c>
      <c r="L138" s="24" t="n">
        <f aca="false">J138+K138</f>
        <v>0</v>
      </c>
    </row>
    <row r="139" customFormat="false" ht="17.25" hidden="false" customHeight="true" outlineLevel="0" collapsed="false">
      <c r="A139" s="20" t="n">
        <v>125</v>
      </c>
      <c r="B139" s="20" t="s">
        <v>270</v>
      </c>
      <c r="C139" s="33" t="s">
        <v>271</v>
      </c>
      <c r="D139" s="34" t="n">
        <f aca="false">IFERROR(VALUE(SUBSTITUTE(INDEX('Paste BPG'!$A:$Z,MATCH($B139,'Paste BPG'!$C:$C,0),MATCH("BP UP/TUP",'Paste BPG'!$3:$3,0)),".","")),0)</f>
        <v>0</v>
      </c>
      <c r="E139" s="34" t="n">
        <f aca="false">IFERROR(VALUE(SUBSTITUTE(INDEX('Paste BPG'!$A:$Z,MATCH($B139,'Paste BPG'!$C:$C,0),MATCH("BP LS BENDAHARA",'Paste BPG'!$3:$3,0)),".","")),0)</f>
        <v>0</v>
      </c>
      <c r="F139" s="23" t="n">
        <f aca="false">IFERROR(VALUE(SUBSTITUTE(INDEX('Paste BPG'!$A:$Z,MATCH($B139,'Paste BPG'!$C:$C,0),MATCH("BP PAJAK",'Paste BPG'!$3:$3,0)),".","")),0)</f>
        <v>0</v>
      </c>
      <c r="G139" s="23" t="n">
        <f aca="false">IFERROR(VALUE(SUBSTITUTE(INDEX('Paste BPG'!$A:$Z,MATCH($B139,'Paste BPG'!$C:$C,0),MATCH("BP HIBAH",'Paste BPG'!$3:$3,0)),".","")),0)</f>
        <v>0</v>
      </c>
      <c r="H139" s="23" t="n">
        <f aca="false">IFERROR(VALUE(SUBSTITUTE(INDEX('Paste BPG'!$A:$Z,MATCH($B139,'Paste BPG'!$C:$C,0),MATCH("BP LAIN-LAIN",'Paste BPG'!$3:$3,0)),".","")),0)</f>
        <v>0</v>
      </c>
      <c r="I139" s="24" t="n">
        <f aca="false">D139+E139+F139+G139+H139</f>
        <v>0</v>
      </c>
      <c r="J139" s="23" t="n">
        <f aca="false">D139</f>
        <v>0</v>
      </c>
      <c r="K139" s="23" t="n">
        <f aca="false">IFERROR(VALUE(SUBSTITUTE(INDEX('Paste BPG'!$A:$Z,MATCH($B139,'Paste BPG'!$C:$C,0),MATCH("KUITANSI",'Paste BPG'!$3:$3,0)),".","")),0)</f>
        <v>0</v>
      </c>
      <c r="L139" s="24" t="n">
        <f aca="false">J139+K139</f>
        <v>0</v>
      </c>
    </row>
    <row r="140" customFormat="false" ht="17.25" hidden="false" customHeight="true" outlineLevel="0" collapsed="false">
      <c r="A140" s="20" t="n">
        <v>126</v>
      </c>
      <c r="B140" s="20" t="s">
        <v>272</v>
      </c>
      <c r="C140" s="35" t="s">
        <v>273</v>
      </c>
      <c r="D140" s="34" t="n">
        <f aca="false">IFERROR(VALUE(SUBSTITUTE(INDEX('Paste BPG'!$A:$Z,MATCH($B140,'Paste BPG'!$C:$C,0),MATCH("BP UP/TUP",'Paste BPG'!$3:$3,0)),".","")),0)</f>
        <v>0</v>
      </c>
      <c r="E140" s="34" t="n">
        <f aca="false">IFERROR(VALUE(SUBSTITUTE(INDEX('Paste BPG'!$A:$Z,MATCH($B140,'Paste BPG'!$C:$C,0),MATCH("BP LS BENDAHARA",'Paste BPG'!$3:$3,0)),".","")),0)</f>
        <v>0</v>
      </c>
      <c r="F140" s="23" t="n">
        <f aca="false">IFERROR(VALUE(SUBSTITUTE(INDEX('Paste BPG'!$A:$Z,MATCH($B140,'Paste BPG'!$C:$C,0),MATCH("BP PAJAK",'Paste BPG'!$3:$3,0)),".","")),0)</f>
        <v>0</v>
      </c>
      <c r="G140" s="23" t="n">
        <f aca="false">IFERROR(VALUE(SUBSTITUTE(INDEX('Paste BPG'!$A:$Z,MATCH($B140,'Paste BPG'!$C:$C,0),MATCH("BP HIBAH",'Paste BPG'!$3:$3,0)),".","")),0)</f>
        <v>0</v>
      </c>
      <c r="H140" s="23" t="n">
        <f aca="false">IFERROR(VALUE(SUBSTITUTE(INDEX('Paste BPG'!$A:$Z,MATCH($B140,'Paste BPG'!$C:$C,0),MATCH("BP LAIN-LAIN",'Paste BPG'!$3:$3,0)),".","")),0)</f>
        <v>0</v>
      </c>
      <c r="I140" s="24" t="n">
        <f aca="false">D140+E140+F140+G140+H140</f>
        <v>0</v>
      </c>
      <c r="J140" s="23" t="n">
        <f aca="false">D140</f>
        <v>0</v>
      </c>
      <c r="K140" s="23" t="n">
        <f aca="false">IFERROR(VALUE(SUBSTITUTE(INDEX('Paste BPG'!$A:$Z,MATCH($B140,'Paste BPG'!$C:$C,0),MATCH("KUITANSI",'Paste BPG'!$3:$3,0)),".","")),0)</f>
        <v>0</v>
      </c>
      <c r="L140" s="24" t="n">
        <f aca="false">J140+K140</f>
        <v>0</v>
      </c>
    </row>
    <row r="141" customFormat="false" ht="45.75" hidden="false" customHeight="true" outlineLevel="0" collapsed="false">
      <c r="A141" s="20" t="n">
        <v>127</v>
      </c>
      <c r="B141" s="20" t="s">
        <v>274</v>
      </c>
      <c r="C141" s="33" t="s">
        <v>275</v>
      </c>
      <c r="D141" s="34" t="n">
        <f aca="false">IFERROR(VALUE(SUBSTITUTE(INDEX('Paste BPG'!$A:$Z,MATCH($B141,'Paste BPG'!$C:$C,0),MATCH("BP UP/TUP",'Paste BPG'!$3:$3,0)),".","")),0)</f>
        <v>0</v>
      </c>
      <c r="E141" s="34" t="n">
        <f aca="false">IFERROR(VALUE(SUBSTITUTE(INDEX('Paste BPG'!$A:$Z,MATCH($B141,'Paste BPG'!$C:$C,0),MATCH("BP LS BENDAHARA",'Paste BPG'!$3:$3,0)),".","")),0)</f>
        <v>0</v>
      </c>
      <c r="F141" s="23" t="n">
        <f aca="false">IFERROR(VALUE(SUBSTITUTE(INDEX('Paste BPG'!$A:$Z,MATCH($B141,'Paste BPG'!$C:$C,0),MATCH("BP PAJAK",'Paste BPG'!$3:$3,0)),".","")),0)</f>
        <v>0</v>
      </c>
      <c r="G141" s="23" t="n">
        <f aca="false">IFERROR(VALUE(SUBSTITUTE(INDEX('Paste BPG'!$A:$Z,MATCH($B141,'Paste BPG'!$C:$C,0),MATCH("BP HIBAH",'Paste BPG'!$3:$3,0)),".","")),0)</f>
        <v>0</v>
      </c>
      <c r="H141" s="23" t="n">
        <f aca="false">IFERROR(VALUE(SUBSTITUTE(INDEX('Paste BPG'!$A:$Z,MATCH($B141,'Paste BPG'!$C:$C,0),MATCH("BP LAIN-LAIN",'Paste BPG'!$3:$3,0)),".","")),0)</f>
        <v>0</v>
      </c>
      <c r="I141" s="24" t="n">
        <f aca="false">D141+E141+F141+G141+H141</f>
        <v>0</v>
      </c>
      <c r="J141" s="23" t="n">
        <f aca="false">D141</f>
        <v>0</v>
      </c>
      <c r="K141" s="23" t="n">
        <f aca="false">IFERROR(VALUE(SUBSTITUTE(INDEX('Paste BPG'!$A:$Z,MATCH($B141,'Paste BPG'!$C:$C,0),MATCH("KUITANSI",'Paste BPG'!$3:$3,0)),".","")),0)</f>
        <v>0</v>
      </c>
      <c r="L141" s="24" t="n">
        <f aca="false">J141+K141</f>
        <v>0</v>
      </c>
    </row>
    <row r="142" customFormat="false" ht="28.5" hidden="false" customHeight="true" outlineLevel="0" collapsed="false">
      <c r="A142" s="20" t="n">
        <v>128</v>
      </c>
      <c r="B142" s="20" t="s">
        <v>276</v>
      </c>
      <c r="C142" s="33" t="s">
        <v>277</v>
      </c>
      <c r="D142" s="34" t="n">
        <f aca="false">IFERROR(VALUE(SUBSTITUTE(INDEX('Paste BPG'!$A:$Z,MATCH($B142,'Paste BPG'!$C:$C,0),MATCH("BP UP/TUP",'Paste BPG'!$3:$3,0)),".","")),0)</f>
        <v>0</v>
      </c>
      <c r="E142" s="34" t="n">
        <f aca="false">IFERROR(VALUE(SUBSTITUTE(INDEX('Paste BPG'!$A:$Z,MATCH($B142,'Paste BPG'!$C:$C,0),MATCH("BP LS BENDAHARA",'Paste BPG'!$3:$3,0)),".","")),0)</f>
        <v>0</v>
      </c>
      <c r="F142" s="23" t="n">
        <f aca="false">IFERROR(VALUE(SUBSTITUTE(INDEX('Paste BPG'!$A:$Z,MATCH($B142,'Paste BPG'!$C:$C,0),MATCH("BP PAJAK",'Paste BPG'!$3:$3,0)),".","")),0)</f>
        <v>0</v>
      </c>
      <c r="G142" s="23" t="n">
        <f aca="false">IFERROR(VALUE(SUBSTITUTE(INDEX('Paste BPG'!$A:$Z,MATCH($B142,'Paste BPG'!$C:$C,0),MATCH("BP HIBAH",'Paste BPG'!$3:$3,0)),".","")),0)</f>
        <v>0</v>
      </c>
      <c r="H142" s="23" t="n">
        <f aca="false">IFERROR(VALUE(SUBSTITUTE(INDEX('Paste BPG'!$A:$Z,MATCH($B142,'Paste BPG'!$C:$C,0),MATCH("BP LAIN-LAIN",'Paste BPG'!$3:$3,0)),".","")),0)</f>
        <v>0</v>
      </c>
      <c r="I142" s="24" t="n">
        <f aca="false">D142+E142+F142+G142+H142</f>
        <v>0</v>
      </c>
      <c r="J142" s="23" t="n">
        <f aca="false">D142</f>
        <v>0</v>
      </c>
      <c r="K142" s="23" t="n">
        <f aca="false">IFERROR(VALUE(SUBSTITUTE(INDEX('Paste BPG'!$A:$Z,MATCH($B142,'Paste BPG'!$C:$C,0),MATCH("KUITANSI",'Paste BPG'!$3:$3,0)),".","")),0)</f>
        <v>0</v>
      </c>
      <c r="L142" s="24" t="n">
        <f aca="false">J142+K142</f>
        <v>0</v>
      </c>
    </row>
    <row r="143" customFormat="false" ht="28.5" hidden="false" customHeight="true" outlineLevel="0" collapsed="false">
      <c r="A143" s="20" t="n">
        <v>129</v>
      </c>
      <c r="B143" s="20" t="s">
        <v>278</v>
      </c>
      <c r="C143" s="33" t="s">
        <v>279</v>
      </c>
      <c r="D143" s="34" t="n">
        <f aca="false">IFERROR(VALUE(SUBSTITUTE(INDEX('Paste BPG'!$A:$Z,MATCH($B143,'Paste BPG'!$C:$C,0),MATCH("BP UP/TUP",'Paste BPG'!$3:$3,0)),".","")),0)</f>
        <v>0</v>
      </c>
      <c r="E143" s="34" t="n">
        <f aca="false">IFERROR(VALUE(SUBSTITUTE(INDEX('Paste BPG'!$A:$Z,MATCH($B143,'Paste BPG'!$C:$C,0),MATCH("BP LS BENDAHARA",'Paste BPG'!$3:$3,0)),".","")),0)</f>
        <v>0</v>
      </c>
      <c r="F143" s="23" t="n">
        <f aca="false">IFERROR(VALUE(SUBSTITUTE(INDEX('Paste BPG'!$A:$Z,MATCH($B143,'Paste BPG'!$C:$C,0),MATCH("BP PAJAK",'Paste BPG'!$3:$3,0)),".","")),0)</f>
        <v>0</v>
      </c>
      <c r="G143" s="23" t="n">
        <f aca="false">IFERROR(VALUE(SUBSTITUTE(INDEX('Paste BPG'!$A:$Z,MATCH($B143,'Paste BPG'!$C:$C,0),MATCH("BP HIBAH",'Paste BPG'!$3:$3,0)),".","")),0)</f>
        <v>0</v>
      </c>
      <c r="H143" s="23" t="n">
        <f aca="false">IFERROR(VALUE(SUBSTITUTE(INDEX('Paste BPG'!$A:$Z,MATCH($B143,'Paste BPG'!$C:$C,0),MATCH("BP LAIN-LAIN",'Paste BPG'!$3:$3,0)),".","")),0)</f>
        <v>0</v>
      </c>
      <c r="I143" s="24" t="n">
        <f aca="false">D143+E143+F143+G143+H143</f>
        <v>0</v>
      </c>
      <c r="J143" s="23" t="n">
        <f aca="false">D143</f>
        <v>0</v>
      </c>
      <c r="K143" s="23" t="n">
        <f aca="false">IFERROR(VALUE(SUBSTITUTE(INDEX('Paste BPG'!$A:$Z,MATCH($B143,'Paste BPG'!$C:$C,0),MATCH("KUITANSI",'Paste BPG'!$3:$3,0)),".","")),0)</f>
        <v>0</v>
      </c>
      <c r="L143" s="24" t="n">
        <f aca="false">J143+K143</f>
        <v>0</v>
      </c>
    </row>
    <row r="144" customFormat="false" ht="28.5" hidden="false" customHeight="true" outlineLevel="0" collapsed="false">
      <c r="A144" s="20" t="n">
        <v>130</v>
      </c>
      <c r="B144" s="20" t="s">
        <v>280</v>
      </c>
      <c r="C144" s="33" t="s">
        <v>281</v>
      </c>
      <c r="D144" s="34" t="n">
        <f aca="false">IFERROR(VALUE(SUBSTITUTE(INDEX('Paste BPG'!$A:$Z,MATCH($B144,'Paste BPG'!$C:$C,0),MATCH("BP UP/TUP",'Paste BPG'!$3:$3,0)),".","")),0)</f>
        <v>0</v>
      </c>
      <c r="E144" s="34" t="n">
        <f aca="false">IFERROR(VALUE(SUBSTITUTE(INDEX('Paste BPG'!$A:$Z,MATCH($B144,'Paste BPG'!$C:$C,0),MATCH("BP LS BENDAHARA",'Paste BPG'!$3:$3,0)),".","")),0)</f>
        <v>0</v>
      </c>
      <c r="F144" s="23" t="n">
        <f aca="false">IFERROR(VALUE(SUBSTITUTE(INDEX('Paste BPG'!$A:$Z,MATCH($B144,'Paste BPG'!$C:$C,0),MATCH("BP PAJAK",'Paste BPG'!$3:$3,0)),".","")),0)</f>
        <v>0</v>
      </c>
      <c r="G144" s="23" t="n">
        <f aca="false">IFERROR(VALUE(SUBSTITUTE(INDEX('Paste BPG'!$A:$Z,MATCH($B144,'Paste BPG'!$C:$C,0),MATCH("BP HIBAH",'Paste BPG'!$3:$3,0)),".","")),0)</f>
        <v>0</v>
      </c>
      <c r="H144" s="23" t="n">
        <f aca="false">IFERROR(VALUE(SUBSTITUTE(INDEX('Paste BPG'!$A:$Z,MATCH($B144,'Paste BPG'!$C:$C,0),MATCH("BP LAIN-LAIN",'Paste BPG'!$3:$3,0)),".","")),0)</f>
        <v>0</v>
      </c>
      <c r="I144" s="24" t="n">
        <f aca="false">D144+E144+F144+G144+H144</f>
        <v>0</v>
      </c>
      <c r="J144" s="23" t="n">
        <f aca="false">D144</f>
        <v>0</v>
      </c>
      <c r="K144" s="23" t="n">
        <f aca="false">IFERROR(VALUE(SUBSTITUTE(INDEX('Paste BPG'!$A:$Z,MATCH($B144,'Paste BPG'!$C:$C,0),MATCH("KUITANSI",'Paste BPG'!$3:$3,0)),".","")),0)</f>
        <v>0</v>
      </c>
      <c r="L144" s="24" t="n">
        <f aca="false">J144+K144</f>
        <v>0</v>
      </c>
    </row>
    <row r="145" customFormat="false" ht="28.5" hidden="false" customHeight="true" outlineLevel="0" collapsed="false">
      <c r="A145" s="20" t="n">
        <v>131</v>
      </c>
      <c r="B145" s="20" t="s">
        <v>282</v>
      </c>
      <c r="C145" s="33" t="s">
        <v>283</v>
      </c>
      <c r="D145" s="34" t="n">
        <f aca="false">IFERROR(VALUE(SUBSTITUTE(INDEX('Paste BPG'!$A:$Z,MATCH($B145,'Paste BPG'!$C:$C,0),MATCH("BP UP/TUP",'Paste BPG'!$3:$3,0)),".","")),0)</f>
        <v>0</v>
      </c>
      <c r="E145" s="34" t="n">
        <f aca="false">IFERROR(VALUE(SUBSTITUTE(INDEX('Paste BPG'!$A:$Z,MATCH($B145,'Paste BPG'!$C:$C,0),MATCH("BP LS BENDAHARA",'Paste BPG'!$3:$3,0)),".","")),0)</f>
        <v>0</v>
      </c>
      <c r="F145" s="23" t="n">
        <f aca="false">IFERROR(VALUE(SUBSTITUTE(INDEX('Paste BPG'!$A:$Z,MATCH($B145,'Paste BPG'!$C:$C,0),MATCH("BP PAJAK",'Paste BPG'!$3:$3,0)),".","")),0)</f>
        <v>0</v>
      </c>
      <c r="G145" s="23" t="n">
        <f aca="false">IFERROR(VALUE(SUBSTITUTE(INDEX('Paste BPG'!$A:$Z,MATCH($B145,'Paste BPG'!$C:$C,0),MATCH("BP HIBAH",'Paste BPG'!$3:$3,0)),".","")),0)</f>
        <v>0</v>
      </c>
      <c r="H145" s="23" t="n">
        <f aca="false">IFERROR(VALUE(SUBSTITUTE(INDEX('Paste BPG'!$A:$Z,MATCH($B145,'Paste BPG'!$C:$C,0),MATCH("BP LAIN-LAIN",'Paste BPG'!$3:$3,0)),".","")),0)</f>
        <v>0</v>
      </c>
      <c r="I145" s="24" t="n">
        <f aca="false">D145+E145+F145+G145+H145</f>
        <v>0</v>
      </c>
      <c r="J145" s="23" t="n">
        <f aca="false">D145</f>
        <v>0</v>
      </c>
      <c r="K145" s="23" t="n">
        <f aca="false">IFERROR(VALUE(SUBSTITUTE(INDEX('Paste BPG'!$A:$Z,MATCH($B145,'Paste BPG'!$C:$C,0),MATCH("KUITANSI",'Paste BPG'!$3:$3,0)),".","")),0)</f>
        <v>0</v>
      </c>
      <c r="L145" s="24" t="n">
        <f aca="false">J145+K145</f>
        <v>0</v>
      </c>
    </row>
    <row r="146" customFormat="false" ht="15.75" hidden="false" customHeight="true" outlineLevel="0" collapsed="false">
      <c r="A146" s="20" t="n">
        <v>132</v>
      </c>
      <c r="B146" s="20" t="s">
        <v>284</v>
      </c>
      <c r="C146" s="33" t="s">
        <v>285</v>
      </c>
      <c r="D146" s="34" t="n">
        <f aca="false">IFERROR(VALUE(SUBSTITUTE(INDEX('Paste BPG'!$A:$Z,MATCH($B146,'Paste BPG'!$C:$C,0),MATCH("BP UP/TUP",'Paste BPG'!$3:$3,0)),".","")),0)</f>
        <v>0</v>
      </c>
      <c r="E146" s="34" t="n">
        <f aca="false">IFERROR(VALUE(SUBSTITUTE(INDEX('Paste BPG'!$A:$Z,MATCH($B146,'Paste BPG'!$C:$C,0),MATCH("BP LS BENDAHARA",'Paste BPG'!$3:$3,0)),".","")),0)</f>
        <v>0</v>
      </c>
      <c r="F146" s="23" t="n">
        <f aca="false">IFERROR(VALUE(SUBSTITUTE(INDEX('Paste BPG'!$A:$Z,MATCH($B146,'Paste BPG'!$C:$C,0),MATCH("BP PAJAK",'Paste BPG'!$3:$3,0)),".","")),0)</f>
        <v>0</v>
      </c>
      <c r="G146" s="23" t="n">
        <f aca="false">IFERROR(VALUE(SUBSTITUTE(INDEX('Paste BPG'!$A:$Z,MATCH($B146,'Paste BPG'!$C:$C,0),MATCH("BP HIBAH",'Paste BPG'!$3:$3,0)),".","")),0)</f>
        <v>0</v>
      </c>
      <c r="H146" s="23" t="n">
        <f aca="false">IFERROR(VALUE(SUBSTITUTE(INDEX('Paste BPG'!$A:$Z,MATCH($B146,'Paste BPG'!$C:$C,0),MATCH("BP LAIN-LAIN",'Paste BPG'!$3:$3,0)),".","")),0)</f>
        <v>0</v>
      </c>
      <c r="I146" s="24" t="n">
        <f aca="false">D146+E146+F146+G146+H146</f>
        <v>0</v>
      </c>
      <c r="J146" s="23" t="n">
        <f aca="false">D146</f>
        <v>0</v>
      </c>
      <c r="K146" s="23" t="n">
        <f aca="false">IFERROR(VALUE(SUBSTITUTE(INDEX('Paste BPG'!$A:$Z,MATCH($B146,'Paste BPG'!$C:$C,0),MATCH("KUITANSI",'Paste BPG'!$3:$3,0)),".","")),0)</f>
        <v>0</v>
      </c>
      <c r="L146" s="24" t="n">
        <f aca="false">J146+K146</f>
        <v>0</v>
      </c>
    </row>
    <row r="147" customFormat="false" ht="28.5" hidden="false" customHeight="true" outlineLevel="0" collapsed="false">
      <c r="A147" s="20" t="n">
        <v>133</v>
      </c>
      <c r="B147" s="20" t="s">
        <v>286</v>
      </c>
      <c r="C147" s="33" t="s">
        <v>287</v>
      </c>
      <c r="D147" s="34" t="n">
        <f aca="false">IFERROR(VALUE(SUBSTITUTE(INDEX('Paste BPG'!$A:$Z,MATCH($B147,'Paste BPG'!$C:$C,0),MATCH("BP UP/TUP",'Paste BPG'!$3:$3,0)),".","")),0)</f>
        <v>0</v>
      </c>
      <c r="E147" s="34" t="n">
        <f aca="false">IFERROR(VALUE(SUBSTITUTE(INDEX('Paste BPG'!$A:$Z,MATCH($B147,'Paste BPG'!$C:$C,0),MATCH("BP LS BENDAHARA",'Paste BPG'!$3:$3,0)),".","")),0)</f>
        <v>0</v>
      </c>
      <c r="F147" s="23" t="n">
        <f aca="false">IFERROR(VALUE(SUBSTITUTE(INDEX('Paste BPG'!$A:$Z,MATCH($B147,'Paste BPG'!$C:$C,0),MATCH("BP PAJAK",'Paste BPG'!$3:$3,0)),".","")),0)</f>
        <v>0</v>
      </c>
      <c r="G147" s="23" t="n">
        <f aca="false">IFERROR(VALUE(SUBSTITUTE(INDEX('Paste BPG'!$A:$Z,MATCH($B147,'Paste BPG'!$C:$C,0),MATCH("BP HIBAH",'Paste BPG'!$3:$3,0)),".","")),0)</f>
        <v>0</v>
      </c>
      <c r="H147" s="23" t="n">
        <f aca="false">IFERROR(VALUE(SUBSTITUTE(INDEX('Paste BPG'!$A:$Z,MATCH($B147,'Paste BPG'!$C:$C,0),MATCH("BP LAIN-LAIN",'Paste BPG'!$3:$3,0)),".","")),0)</f>
        <v>0</v>
      </c>
      <c r="I147" s="24" t="n">
        <f aca="false">D147+E147+F147+G147+H147</f>
        <v>0</v>
      </c>
      <c r="J147" s="23" t="n">
        <f aca="false">D147</f>
        <v>0</v>
      </c>
      <c r="K147" s="23" t="n">
        <f aca="false">IFERROR(VALUE(SUBSTITUTE(INDEX('Paste BPG'!$A:$Z,MATCH($B147,'Paste BPG'!$C:$C,0),MATCH("KUITANSI",'Paste BPG'!$3:$3,0)),".","")),0)</f>
        <v>0</v>
      </c>
      <c r="L147" s="24" t="n">
        <f aca="false">J147+K147</f>
        <v>0</v>
      </c>
    </row>
    <row r="148" customFormat="false" ht="28.5" hidden="false" customHeight="true" outlineLevel="0" collapsed="false">
      <c r="A148" s="20" t="n">
        <v>134</v>
      </c>
      <c r="B148" s="20" t="s">
        <v>288</v>
      </c>
      <c r="C148" s="33" t="s">
        <v>289</v>
      </c>
      <c r="D148" s="34" t="n">
        <f aca="false">IFERROR(VALUE(SUBSTITUTE(INDEX('Paste BPG'!$A:$Z,MATCH($B148,'Paste BPG'!$C:$C,0),MATCH("BP UP/TUP",'Paste BPG'!$3:$3,0)),".","")),0)</f>
        <v>0</v>
      </c>
      <c r="E148" s="34" t="n">
        <f aca="false">IFERROR(VALUE(SUBSTITUTE(INDEX('Paste BPG'!$A:$Z,MATCH($B148,'Paste BPG'!$C:$C,0),MATCH("BP LS BENDAHARA",'Paste BPG'!$3:$3,0)),".","")),0)</f>
        <v>0</v>
      </c>
      <c r="F148" s="23" t="n">
        <f aca="false">IFERROR(VALUE(SUBSTITUTE(INDEX('Paste BPG'!$A:$Z,MATCH($B148,'Paste BPG'!$C:$C,0),MATCH("BP PAJAK",'Paste BPG'!$3:$3,0)),".","")),0)</f>
        <v>0</v>
      </c>
      <c r="G148" s="23" t="n">
        <f aca="false">IFERROR(VALUE(SUBSTITUTE(INDEX('Paste BPG'!$A:$Z,MATCH($B148,'Paste BPG'!$C:$C,0),MATCH("BP HIBAH",'Paste BPG'!$3:$3,0)),".","")),0)</f>
        <v>0</v>
      </c>
      <c r="H148" s="23" t="n">
        <f aca="false">IFERROR(VALUE(SUBSTITUTE(INDEX('Paste BPG'!$A:$Z,MATCH($B148,'Paste BPG'!$C:$C,0),MATCH("BP LAIN-LAIN",'Paste BPG'!$3:$3,0)),".","")),0)</f>
        <v>0</v>
      </c>
      <c r="I148" s="24" t="n">
        <f aca="false">D148+E148+F148+G148+H148</f>
        <v>0</v>
      </c>
      <c r="J148" s="23" t="n">
        <f aca="false">D148</f>
        <v>0</v>
      </c>
      <c r="K148" s="23" t="n">
        <f aca="false">IFERROR(VALUE(SUBSTITUTE(INDEX('Paste BPG'!$A:$Z,MATCH($B148,'Paste BPG'!$C:$C,0),MATCH("KUITANSI",'Paste BPG'!$3:$3,0)),".","")),0)</f>
        <v>0</v>
      </c>
      <c r="L148" s="24" t="n">
        <f aca="false">J148+K148</f>
        <v>0</v>
      </c>
    </row>
    <row r="149" customFormat="false" ht="42.75" hidden="false" customHeight="true" outlineLevel="0" collapsed="false">
      <c r="A149" s="20" t="n">
        <v>135</v>
      </c>
      <c r="B149" s="20" t="s">
        <v>290</v>
      </c>
      <c r="C149" s="33" t="s">
        <v>291</v>
      </c>
      <c r="D149" s="34" t="n">
        <f aca="false">IFERROR(VALUE(SUBSTITUTE(INDEX('Paste BPG'!$A:$Z,MATCH($B149,'Paste BPG'!$C:$C,0),MATCH("BP UP/TUP",'Paste BPG'!$3:$3,0)),".","")),0)</f>
        <v>0</v>
      </c>
      <c r="E149" s="34" t="n">
        <f aca="false">IFERROR(VALUE(SUBSTITUTE(INDEX('Paste BPG'!$A:$Z,MATCH($B149,'Paste BPG'!$C:$C,0),MATCH("BP LS BENDAHARA",'Paste BPG'!$3:$3,0)),".","")),0)</f>
        <v>0</v>
      </c>
      <c r="F149" s="23" t="n">
        <f aca="false">IFERROR(VALUE(SUBSTITUTE(INDEX('Paste BPG'!$A:$Z,MATCH($B149,'Paste BPG'!$C:$C,0),MATCH("BP PAJAK",'Paste BPG'!$3:$3,0)),".","")),0)</f>
        <v>0</v>
      </c>
      <c r="G149" s="23" t="n">
        <f aca="false">IFERROR(VALUE(SUBSTITUTE(INDEX('Paste BPG'!$A:$Z,MATCH($B149,'Paste BPG'!$C:$C,0),MATCH("BP HIBAH",'Paste BPG'!$3:$3,0)),".","")),0)</f>
        <v>0</v>
      </c>
      <c r="H149" s="23" t="n">
        <f aca="false">IFERROR(VALUE(SUBSTITUTE(INDEX('Paste BPG'!$A:$Z,MATCH($B149,'Paste BPG'!$C:$C,0),MATCH("BP LAIN-LAIN",'Paste BPG'!$3:$3,0)),".","")),0)</f>
        <v>0</v>
      </c>
      <c r="I149" s="24" t="n">
        <f aca="false">D149+E149+F149+G149+H149</f>
        <v>0</v>
      </c>
      <c r="J149" s="23" t="n">
        <f aca="false">D149</f>
        <v>0</v>
      </c>
      <c r="K149" s="23" t="n">
        <f aca="false">IFERROR(VALUE(SUBSTITUTE(INDEX('Paste BPG'!$A:$Z,MATCH($B149,'Paste BPG'!$C:$C,0),MATCH("KUITANSI",'Paste BPG'!$3:$3,0)),".","")),0)</f>
        <v>0</v>
      </c>
      <c r="L149" s="24" t="n">
        <f aca="false">J149+K149</f>
        <v>0</v>
      </c>
    </row>
    <row r="150" customFormat="false" ht="42.75" hidden="false" customHeight="true" outlineLevel="0" collapsed="false">
      <c r="A150" s="20" t="n">
        <v>136</v>
      </c>
      <c r="B150" s="20" t="s">
        <v>292</v>
      </c>
      <c r="C150" s="33" t="s">
        <v>293</v>
      </c>
      <c r="D150" s="34" t="n">
        <f aca="false">IFERROR(VALUE(SUBSTITUTE(INDEX('Paste BPG'!$A:$Z,MATCH($B150,'Paste BPG'!$C:$C,0),MATCH("BP UP/TUP",'Paste BPG'!$3:$3,0)),".","")),0)</f>
        <v>0</v>
      </c>
      <c r="E150" s="34" t="n">
        <f aca="false">IFERROR(VALUE(SUBSTITUTE(INDEX('Paste BPG'!$A:$Z,MATCH($B150,'Paste BPG'!$C:$C,0),MATCH("BP LS BENDAHARA",'Paste BPG'!$3:$3,0)),".","")),0)</f>
        <v>0</v>
      </c>
      <c r="F150" s="23" t="n">
        <f aca="false">IFERROR(VALUE(SUBSTITUTE(INDEX('Paste BPG'!$A:$Z,MATCH($B150,'Paste BPG'!$C:$C,0),MATCH("BP PAJAK",'Paste BPG'!$3:$3,0)),".","")),0)</f>
        <v>0</v>
      </c>
      <c r="G150" s="23" t="n">
        <f aca="false">IFERROR(VALUE(SUBSTITUTE(INDEX('Paste BPG'!$A:$Z,MATCH($B150,'Paste BPG'!$C:$C,0),MATCH("BP HIBAH",'Paste BPG'!$3:$3,0)),".","")),0)</f>
        <v>0</v>
      </c>
      <c r="H150" s="23" t="n">
        <f aca="false">IFERROR(VALUE(SUBSTITUTE(INDEX('Paste BPG'!$A:$Z,MATCH($B150,'Paste BPG'!$C:$C,0),MATCH("BP LAIN-LAIN",'Paste BPG'!$3:$3,0)),".","")),0)</f>
        <v>0</v>
      </c>
      <c r="I150" s="24" t="n">
        <f aca="false">D150+E150+F150+G150+H150</f>
        <v>0</v>
      </c>
      <c r="J150" s="23" t="n">
        <f aca="false">D150</f>
        <v>0</v>
      </c>
      <c r="K150" s="23" t="n">
        <f aca="false">IFERROR(VALUE(SUBSTITUTE(INDEX('Paste BPG'!$A:$Z,MATCH($B150,'Paste BPG'!$C:$C,0),MATCH("KUITANSI",'Paste BPG'!$3:$3,0)),".","")),0)</f>
        <v>0</v>
      </c>
      <c r="L150" s="24" t="n">
        <f aca="false">J150+K150</f>
        <v>0</v>
      </c>
    </row>
    <row r="151" customFormat="false" ht="28.5" hidden="false" customHeight="true" outlineLevel="0" collapsed="false">
      <c r="A151" s="20" t="n">
        <v>137</v>
      </c>
      <c r="B151" s="20" t="s">
        <v>294</v>
      </c>
      <c r="C151" s="33" t="s">
        <v>295</v>
      </c>
      <c r="D151" s="34" t="n">
        <f aca="false">IFERROR(VALUE(SUBSTITUTE(INDEX('Paste BPG'!$A:$Z,MATCH($B151,'Paste BPG'!$C:$C,0),MATCH("BP UP/TUP",'Paste BPG'!$3:$3,0)),".","")),0)</f>
        <v>0</v>
      </c>
      <c r="E151" s="34" t="n">
        <f aca="false">IFERROR(VALUE(SUBSTITUTE(INDEX('Paste BPG'!$A:$Z,MATCH($B151,'Paste BPG'!$C:$C,0),MATCH("BP LS BENDAHARA",'Paste BPG'!$3:$3,0)),".","")),0)</f>
        <v>0</v>
      </c>
      <c r="F151" s="23" t="n">
        <f aca="false">IFERROR(VALUE(SUBSTITUTE(INDEX('Paste BPG'!$A:$Z,MATCH($B151,'Paste BPG'!$C:$C,0),MATCH("BP PAJAK",'Paste BPG'!$3:$3,0)),".","")),0)</f>
        <v>0</v>
      </c>
      <c r="G151" s="23" t="n">
        <f aca="false">IFERROR(VALUE(SUBSTITUTE(INDEX('Paste BPG'!$A:$Z,MATCH($B151,'Paste BPG'!$C:$C,0),MATCH("BP HIBAH",'Paste BPG'!$3:$3,0)),".","")),0)</f>
        <v>0</v>
      </c>
      <c r="H151" s="23" t="n">
        <f aca="false">IFERROR(VALUE(SUBSTITUTE(INDEX('Paste BPG'!$A:$Z,MATCH($B151,'Paste BPG'!$C:$C,0),MATCH("BP LAIN-LAIN",'Paste BPG'!$3:$3,0)),".","")),0)</f>
        <v>0</v>
      </c>
      <c r="I151" s="24" t="n">
        <f aca="false">D151+E151+F151+G151+H151</f>
        <v>0</v>
      </c>
      <c r="J151" s="23" t="n">
        <f aca="false">D151</f>
        <v>0</v>
      </c>
      <c r="K151" s="23" t="n">
        <f aca="false">IFERROR(VALUE(SUBSTITUTE(INDEX('Paste BPG'!$A:$Z,MATCH($B151,'Paste BPG'!$C:$C,0),MATCH("KUITANSI",'Paste BPG'!$3:$3,0)),".","")),0)</f>
        <v>0</v>
      </c>
      <c r="L151" s="24" t="n">
        <f aca="false">J151+K151</f>
        <v>0</v>
      </c>
    </row>
    <row r="152" customFormat="false" ht="28.5" hidden="false" customHeight="true" outlineLevel="0" collapsed="false">
      <c r="A152" s="20" t="n">
        <v>138</v>
      </c>
      <c r="B152" s="20" t="s">
        <v>296</v>
      </c>
      <c r="C152" s="33" t="s">
        <v>297</v>
      </c>
      <c r="D152" s="34" t="n">
        <f aca="false">IFERROR(VALUE(SUBSTITUTE(INDEX('Paste BPG'!$A:$Z,MATCH($B152,'Paste BPG'!$C:$C,0),MATCH("BP UP/TUP",'Paste BPG'!$3:$3,0)),".","")),0)</f>
        <v>0</v>
      </c>
      <c r="E152" s="34" t="n">
        <f aca="false">IFERROR(VALUE(SUBSTITUTE(INDEX('Paste BPG'!$A:$Z,MATCH($B152,'Paste BPG'!$C:$C,0),MATCH("BP LS BENDAHARA",'Paste BPG'!$3:$3,0)),".","")),0)</f>
        <v>0</v>
      </c>
      <c r="F152" s="23" t="n">
        <f aca="false">IFERROR(VALUE(SUBSTITUTE(INDEX('Paste BPG'!$A:$Z,MATCH($B152,'Paste BPG'!$C:$C,0),MATCH("BP PAJAK",'Paste BPG'!$3:$3,0)),".","")),0)</f>
        <v>0</v>
      </c>
      <c r="G152" s="23" t="n">
        <f aca="false">IFERROR(VALUE(SUBSTITUTE(INDEX('Paste BPG'!$A:$Z,MATCH($B152,'Paste BPG'!$C:$C,0),MATCH("BP HIBAH",'Paste BPG'!$3:$3,0)),".","")),0)</f>
        <v>0</v>
      </c>
      <c r="H152" s="23" t="n">
        <f aca="false">IFERROR(VALUE(SUBSTITUTE(INDEX('Paste BPG'!$A:$Z,MATCH($B152,'Paste BPG'!$C:$C,0),MATCH("BP LAIN-LAIN",'Paste BPG'!$3:$3,0)),".","")),0)</f>
        <v>0</v>
      </c>
      <c r="I152" s="24" t="n">
        <f aca="false">D152+E152+F152+G152+H152</f>
        <v>0</v>
      </c>
      <c r="J152" s="23" t="n">
        <f aca="false">D152</f>
        <v>0</v>
      </c>
      <c r="K152" s="23" t="n">
        <f aca="false">IFERROR(VALUE(SUBSTITUTE(INDEX('Paste BPG'!$A:$Z,MATCH($B152,'Paste BPG'!$C:$C,0),MATCH("KUITANSI",'Paste BPG'!$3:$3,0)),".","")),0)</f>
        <v>0</v>
      </c>
      <c r="L152" s="24" t="n">
        <f aca="false">J152+K152</f>
        <v>0</v>
      </c>
    </row>
    <row r="153" customFormat="false" ht="28.5" hidden="false" customHeight="true" outlineLevel="0" collapsed="false">
      <c r="A153" s="20" t="n">
        <v>139</v>
      </c>
      <c r="B153" s="20" t="s">
        <v>298</v>
      </c>
      <c r="C153" s="33" t="s">
        <v>299</v>
      </c>
      <c r="D153" s="34" t="n">
        <f aca="false">IFERROR(VALUE(SUBSTITUTE(INDEX('Paste BPG'!$A:$Z,MATCH($B153,'Paste BPG'!$C:$C,0),MATCH("BP UP/TUP",'Paste BPG'!$3:$3,0)),".","")),0)</f>
        <v>0</v>
      </c>
      <c r="E153" s="34" t="n">
        <f aca="false">IFERROR(VALUE(SUBSTITUTE(INDEX('Paste BPG'!$A:$Z,MATCH($B153,'Paste BPG'!$C:$C,0),MATCH("BP LS BENDAHARA",'Paste BPG'!$3:$3,0)),".","")),0)</f>
        <v>0</v>
      </c>
      <c r="F153" s="23" t="n">
        <f aca="false">IFERROR(VALUE(SUBSTITUTE(INDEX('Paste BPG'!$A:$Z,MATCH($B153,'Paste BPG'!$C:$C,0),MATCH("BP PAJAK",'Paste BPG'!$3:$3,0)),".","")),0)</f>
        <v>0</v>
      </c>
      <c r="G153" s="23" t="n">
        <f aca="false">IFERROR(VALUE(SUBSTITUTE(INDEX('Paste BPG'!$A:$Z,MATCH($B153,'Paste BPG'!$C:$C,0),MATCH("BP HIBAH",'Paste BPG'!$3:$3,0)),".","")),0)</f>
        <v>0</v>
      </c>
      <c r="H153" s="23" t="n">
        <f aca="false">IFERROR(VALUE(SUBSTITUTE(INDEX('Paste BPG'!$A:$Z,MATCH($B153,'Paste BPG'!$C:$C,0),MATCH("BP LAIN-LAIN",'Paste BPG'!$3:$3,0)),".","")),0)</f>
        <v>0</v>
      </c>
      <c r="I153" s="24" t="n">
        <f aca="false">D153+E153+F153+G153+H153</f>
        <v>0</v>
      </c>
      <c r="J153" s="23" t="n">
        <f aca="false">D153</f>
        <v>0</v>
      </c>
      <c r="K153" s="23" t="n">
        <f aca="false">IFERROR(VALUE(SUBSTITUTE(INDEX('Paste BPG'!$A:$Z,MATCH($B153,'Paste BPG'!$C:$C,0),MATCH("KUITANSI",'Paste BPG'!$3:$3,0)),".","")),0)</f>
        <v>0</v>
      </c>
      <c r="L153" s="24" t="n">
        <f aca="false">J153+K153</f>
        <v>0</v>
      </c>
    </row>
    <row r="154" customFormat="false" ht="15.75" hidden="false" customHeight="true" outlineLevel="0" collapsed="false">
      <c r="A154" s="20" t="n">
        <v>140</v>
      </c>
      <c r="B154" s="20" t="s">
        <v>300</v>
      </c>
      <c r="C154" s="33" t="s">
        <v>301</v>
      </c>
      <c r="D154" s="34" t="n">
        <f aca="false">IFERROR(VALUE(SUBSTITUTE(INDEX('Paste BPG'!$A:$Z,MATCH($B154,'Paste BPG'!$C:$C,0),MATCH("BP UP/TUP",'Paste BPG'!$3:$3,0)),".","")),0)</f>
        <v>0</v>
      </c>
      <c r="E154" s="34" t="n">
        <f aca="false">IFERROR(VALUE(SUBSTITUTE(INDEX('Paste BPG'!$A:$Z,MATCH($B154,'Paste BPG'!$C:$C,0),MATCH("BP LS BENDAHARA",'Paste BPG'!$3:$3,0)),".","")),0)</f>
        <v>0</v>
      </c>
      <c r="F154" s="23" t="n">
        <f aca="false">IFERROR(VALUE(SUBSTITUTE(INDEX('Paste BPG'!$A:$Z,MATCH($B154,'Paste BPG'!$C:$C,0),MATCH("BP PAJAK",'Paste BPG'!$3:$3,0)),".","")),0)</f>
        <v>0</v>
      </c>
      <c r="G154" s="23" t="n">
        <f aca="false">IFERROR(VALUE(SUBSTITUTE(INDEX('Paste BPG'!$A:$Z,MATCH($B154,'Paste BPG'!$C:$C,0),MATCH("BP HIBAH",'Paste BPG'!$3:$3,0)),".","")),0)</f>
        <v>0</v>
      </c>
      <c r="H154" s="23" t="n">
        <f aca="false">IFERROR(VALUE(SUBSTITUTE(INDEX('Paste BPG'!$A:$Z,MATCH($B154,'Paste BPG'!$C:$C,0),MATCH("BP LAIN-LAIN",'Paste BPG'!$3:$3,0)),".","")),0)</f>
        <v>0</v>
      </c>
      <c r="I154" s="24" t="n">
        <f aca="false">D154+E154+F154+G154+H154</f>
        <v>0</v>
      </c>
      <c r="J154" s="23" t="n">
        <f aca="false">D154</f>
        <v>0</v>
      </c>
      <c r="K154" s="23" t="n">
        <f aca="false">IFERROR(VALUE(SUBSTITUTE(INDEX('Paste BPG'!$A:$Z,MATCH($B154,'Paste BPG'!$C:$C,0),MATCH("KUITANSI",'Paste BPG'!$3:$3,0)),".","")),0)</f>
        <v>0</v>
      </c>
      <c r="L154" s="24" t="n">
        <f aca="false">J154+K154</f>
        <v>0</v>
      </c>
    </row>
    <row r="155" customFormat="false" ht="15.75" hidden="false" customHeight="true" outlineLevel="0" collapsed="false">
      <c r="A155" s="20" t="n">
        <v>141</v>
      </c>
      <c r="B155" s="20" t="s">
        <v>302</v>
      </c>
      <c r="C155" s="33" t="s">
        <v>303</v>
      </c>
      <c r="D155" s="34" t="n">
        <f aca="false">IFERROR(VALUE(SUBSTITUTE(INDEX('Paste BPG'!$A:$Z,MATCH($B155,'Paste BPG'!$C:$C,0),MATCH("BP UP/TUP",'Paste BPG'!$3:$3,0)),".","")),0)</f>
        <v>0</v>
      </c>
      <c r="E155" s="34" t="n">
        <f aca="false">IFERROR(VALUE(SUBSTITUTE(INDEX('Paste BPG'!$A:$Z,MATCH($B155,'Paste BPG'!$C:$C,0),MATCH("BP LS BENDAHARA",'Paste BPG'!$3:$3,0)),".","")),0)</f>
        <v>0</v>
      </c>
      <c r="F155" s="23" t="n">
        <f aca="false">IFERROR(VALUE(SUBSTITUTE(INDEX('Paste BPG'!$A:$Z,MATCH($B155,'Paste BPG'!$C:$C,0),MATCH("BP PAJAK",'Paste BPG'!$3:$3,0)),".","")),0)</f>
        <v>0</v>
      </c>
      <c r="G155" s="23" t="n">
        <f aca="false">IFERROR(VALUE(SUBSTITUTE(INDEX('Paste BPG'!$A:$Z,MATCH($B155,'Paste BPG'!$C:$C,0),MATCH("BP HIBAH",'Paste BPG'!$3:$3,0)),".","")),0)</f>
        <v>0</v>
      </c>
      <c r="H155" s="23" t="n">
        <f aca="false">IFERROR(VALUE(SUBSTITUTE(INDEX('Paste BPG'!$A:$Z,MATCH($B155,'Paste BPG'!$C:$C,0),MATCH("BP LAIN-LAIN",'Paste BPG'!$3:$3,0)),".","")),0)</f>
        <v>0</v>
      </c>
      <c r="I155" s="24" t="n">
        <f aca="false">D155+E155+F155+G155+H155</f>
        <v>0</v>
      </c>
      <c r="J155" s="23" t="n">
        <f aca="false">D155</f>
        <v>0</v>
      </c>
      <c r="K155" s="23" t="n">
        <f aca="false">IFERROR(VALUE(SUBSTITUTE(INDEX('Paste BPG'!$A:$Z,MATCH($B155,'Paste BPG'!$C:$C,0),MATCH("KUITANSI",'Paste BPG'!$3:$3,0)),".","")),0)</f>
        <v>0</v>
      </c>
      <c r="L155" s="24" t="n">
        <f aca="false">J155+K155</f>
        <v>0</v>
      </c>
    </row>
    <row r="156" customFormat="false" ht="28.5" hidden="false" customHeight="true" outlineLevel="0" collapsed="false">
      <c r="A156" s="20" t="n">
        <v>142</v>
      </c>
      <c r="B156" s="20" t="s">
        <v>304</v>
      </c>
      <c r="C156" s="33" t="s">
        <v>305</v>
      </c>
      <c r="D156" s="34" t="n">
        <f aca="false">IFERROR(VALUE(SUBSTITUTE(INDEX('Paste BPG'!$A:$Z,MATCH($B156,'Paste BPG'!$C:$C,0),MATCH("BP UP/TUP",'Paste BPG'!$3:$3,0)),".","")),0)</f>
        <v>0</v>
      </c>
      <c r="E156" s="34" t="n">
        <f aca="false">IFERROR(VALUE(SUBSTITUTE(INDEX('Paste BPG'!$A:$Z,MATCH($B156,'Paste BPG'!$C:$C,0),MATCH("BP LS BENDAHARA",'Paste BPG'!$3:$3,0)),".","")),0)</f>
        <v>0</v>
      </c>
      <c r="F156" s="23" t="n">
        <f aca="false">IFERROR(VALUE(SUBSTITUTE(INDEX('Paste BPG'!$A:$Z,MATCH($B156,'Paste BPG'!$C:$C,0),MATCH("BP PAJAK",'Paste BPG'!$3:$3,0)),".","")),0)</f>
        <v>0</v>
      </c>
      <c r="G156" s="23" t="n">
        <f aca="false">IFERROR(VALUE(SUBSTITUTE(INDEX('Paste BPG'!$A:$Z,MATCH($B156,'Paste BPG'!$C:$C,0),MATCH("BP HIBAH",'Paste BPG'!$3:$3,0)),".","")),0)</f>
        <v>0</v>
      </c>
      <c r="H156" s="23" t="n">
        <f aca="false">IFERROR(VALUE(SUBSTITUTE(INDEX('Paste BPG'!$A:$Z,MATCH($B156,'Paste BPG'!$C:$C,0),MATCH("BP LAIN-LAIN",'Paste BPG'!$3:$3,0)),".","")),0)</f>
        <v>0</v>
      </c>
      <c r="I156" s="24" t="n">
        <f aca="false">D156+E156+F156+G156+H156</f>
        <v>0</v>
      </c>
      <c r="J156" s="23" t="n">
        <f aca="false">D156</f>
        <v>0</v>
      </c>
      <c r="K156" s="23" t="n">
        <f aca="false">IFERROR(VALUE(SUBSTITUTE(INDEX('Paste BPG'!$A:$Z,MATCH($B156,'Paste BPG'!$C:$C,0),MATCH("KUITANSI",'Paste BPG'!$3:$3,0)),".","")),0)</f>
        <v>0</v>
      </c>
      <c r="L156" s="24" t="n">
        <f aca="false">J156+K156</f>
        <v>0</v>
      </c>
    </row>
    <row r="157" customFormat="false" ht="17.25" hidden="false" customHeight="true" outlineLevel="0" collapsed="false">
      <c r="A157" s="20" t="n">
        <v>143</v>
      </c>
      <c r="B157" s="20" t="s">
        <v>306</v>
      </c>
      <c r="C157" s="33" t="s">
        <v>307</v>
      </c>
      <c r="D157" s="34" t="n">
        <f aca="false">IFERROR(VALUE(SUBSTITUTE(INDEX('Paste BPG'!$A:$Z,MATCH($B157,'Paste BPG'!$C:$C,0),MATCH("BP UP/TUP",'Paste BPG'!$3:$3,0)),".","")),0)</f>
        <v>0</v>
      </c>
      <c r="E157" s="34" t="n">
        <f aca="false">IFERROR(VALUE(SUBSTITUTE(INDEX('Paste BPG'!$A:$Z,MATCH($B157,'Paste BPG'!$C:$C,0),MATCH("BP LS BENDAHARA",'Paste BPG'!$3:$3,0)),".","")),0)</f>
        <v>0</v>
      </c>
      <c r="F157" s="23" t="n">
        <f aca="false">IFERROR(VALUE(SUBSTITUTE(INDEX('Paste BPG'!$A:$Z,MATCH($B157,'Paste BPG'!$C:$C,0),MATCH("BP PAJAK",'Paste BPG'!$3:$3,0)),".","")),0)</f>
        <v>0</v>
      </c>
      <c r="G157" s="23" t="n">
        <f aca="false">IFERROR(VALUE(SUBSTITUTE(INDEX('Paste BPG'!$A:$Z,MATCH($B157,'Paste BPG'!$C:$C,0),MATCH("BP HIBAH",'Paste BPG'!$3:$3,0)),".","")),0)</f>
        <v>0</v>
      </c>
      <c r="H157" s="23" t="n">
        <f aca="false">IFERROR(VALUE(SUBSTITUTE(INDEX('Paste BPG'!$A:$Z,MATCH($B157,'Paste BPG'!$C:$C,0),MATCH("BP LAIN-LAIN",'Paste BPG'!$3:$3,0)),".","")),0)</f>
        <v>0</v>
      </c>
      <c r="I157" s="24" t="n">
        <f aca="false">D157+E157+F157+G157+H157</f>
        <v>0</v>
      </c>
      <c r="J157" s="23" t="n">
        <f aca="false">D157</f>
        <v>0</v>
      </c>
      <c r="K157" s="23" t="n">
        <f aca="false">IFERROR(VALUE(SUBSTITUTE(INDEX('Paste BPG'!$A:$Z,MATCH($B157,'Paste BPG'!$C:$C,0),MATCH("KUITANSI",'Paste BPG'!$3:$3,0)),".","")),0)</f>
        <v>0</v>
      </c>
      <c r="L157" s="24" t="n">
        <f aca="false">J157+K157</f>
        <v>0</v>
      </c>
    </row>
    <row r="158" customFormat="false" ht="27.75" hidden="false" customHeight="true" outlineLevel="0" collapsed="false">
      <c r="A158" s="20" t="n">
        <v>144</v>
      </c>
      <c r="B158" s="20" t="s">
        <v>308</v>
      </c>
      <c r="C158" s="33" t="s">
        <v>309</v>
      </c>
      <c r="D158" s="34" t="n">
        <f aca="false">IFERROR(VALUE(SUBSTITUTE(INDEX('Paste BPG'!$A:$Z,MATCH($B158,'Paste BPG'!$C:$C,0),MATCH("BP UP/TUP",'Paste BPG'!$3:$3,0)),".","")),0)</f>
        <v>0</v>
      </c>
      <c r="E158" s="34" t="n">
        <f aca="false">IFERROR(VALUE(SUBSTITUTE(INDEX('Paste BPG'!$A:$Z,MATCH($B158,'Paste BPG'!$C:$C,0),MATCH("BP LS BENDAHARA",'Paste BPG'!$3:$3,0)),".","")),0)</f>
        <v>0</v>
      </c>
      <c r="F158" s="23" t="n">
        <f aca="false">IFERROR(VALUE(SUBSTITUTE(INDEX('Paste BPG'!$A:$Z,MATCH($B158,'Paste BPG'!$C:$C,0),MATCH("BP PAJAK",'Paste BPG'!$3:$3,0)),".","")),0)</f>
        <v>0</v>
      </c>
      <c r="G158" s="23" t="n">
        <f aca="false">IFERROR(VALUE(SUBSTITUTE(INDEX('Paste BPG'!$A:$Z,MATCH($B158,'Paste BPG'!$C:$C,0),MATCH("BP HIBAH",'Paste BPG'!$3:$3,0)),".","")),0)</f>
        <v>0</v>
      </c>
      <c r="H158" s="23" t="n">
        <f aca="false">IFERROR(VALUE(SUBSTITUTE(INDEX('Paste BPG'!$A:$Z,MATCH($B158,'Paste BPG'!$C:$C,0),MATCH("BP LAIN-LAIN",'Paste BPG'!$3:$3,0)),".","")),0)</f>
        <v>0</v>
      </c>
      <c r="I158" s="24" t="n">
        <f aca="false">D158+E158+F158+G158+H158</f>
        <v>0</v>
      </c>
      <c r="J158" s="23" t="n">
        <f aca="false">D158</f>
        <v>0</v>
      </c>
      <c r="K158" s="23" t="n">
        <f aca="false">IFERROR(VALUE(SUBSTITUTE(INDEX('Paste BPG'!$A:$Z,MATCH($B158,'Paste BPG'!$C:$C,0),MATCH("KUITANSI",'Paste BPG'!$3:$3,0)),".","")),0)</f>
        <v>0</v>
      </c>
      <c r="L158" s="24" t="n">
        <f aca="false">J158+K158</f>
        <v>0</v>
      </c>
    </row>
    <row r="159" customFormat="false" ht="15.75" hidden="false" customHeight="true" outlineLevel="0" collapsed="false">
      <c r="A159" s="20" t="n">
        <v>145</v>
      </c>
      <c r="B159" s="20" t="s">
        <v>310</v>
      </c>
      <c r="C159" s="33" t="s">
        <v>311</v>
      </c>
      <c r="D159" s="34" t="n">
        <f aca="false">IFERROR(VALUE(SUBSTITUTE(INDEX('Paste BPG'!$A:$Z,MATCH($B159,'Paste BPG'!$C:$C,0),MATCH("BP UP/TUP",'Paste BPG'!$3:$3,0)),".","")),0)</f>
        <v>0</v>
      </c>
      <c r="E159" s="34" t="n">
        <f aca="false">IFERROR(VALUE(SUBSTITUTE(INDEX('Paste BPG'!$A:$Z,MATCH($B159,'Paste BPG'!$C:$C,0),MATCH("BP LS BENDAHARA",'Paste BPG'!$3:$3,0)),".","")),0)</f>
        <v>0</v>
      </c>
      <c r="F159" s="23" t="n">
        <f aca="false">IFERROR(VALUE(SUBSTITUTE(INDEX('Paste BPG'!$A:$Z,MATCH($B159,'Paste BPG'!$C:$C,0),MATCH("BP PAJAK",'Paste BPG'!$3:$3,0)),".","")),0)</f>
        <v>0</v>
      </c>
      <c r="G159" s="23" t="n">
        <f aca="false">IFERROR(VALUE(SUBSTITUTE(INDEX('Paste BPG'!$A:$Z,MATCH($B159,'Paste BPG'!$C:$C,0),MATCH("BP HIBAH",'Paste BPG'!$3:$3,0)),".","")),0)</f>
        <v>0</v>
      </c>
      <c r="H159" s="23" t="n">
        <f aca="false">IFERROR(VALUE(SUBSTITUTE(INDEX('Paste BPG'!$A:$Z,MATCH($B159,'Paste BPG'!$C:$C,0),MATCH("BP LAIN-LAIN",'Paste BPG'!$3:$3,0)),".","")),0)</f>
        <v>0</v>
      </c>
      <c r="I159" s="24" t="n">
        <f aca="false">D159+E159+F159+G159+H159</f>
        <v>0</v>
      </c>
      <c r="J159" s="23" t="n">
        <f aca="false">D159</f>
        <v>0</v>
      </c>
      <c r="K159" s="23" t="n">
        <f aca="false">IFERROR(VALUE(SUBSTITUTE(INDEX('Paste BPG'!$A:$Z,MATCH($B159,'Paste BPG'!$C:$C,0),MATCH("KUITANSI",'Paste BPG'!$3:$3,0)),".","")),0)</f>
        <v>0</v>
      </c>
      <c r="L159" s="24" t="n">
        <f aca="false">J159+K159</f>
        <v>0</v>
      </c>
    </row>
    <row r="160" customFormat="false" ht="15.75" hidden="false" customHeight="true" outlineLevel="0" collapsed="false">
      <c r="A160" s="20" t="n">
        <v>146</v>
      </c>
      <c r="B160" s="20" t="s">
        <v>312</v>
      </c>
      <c r="C160" s="33" t="s">
        <v>313</v>
      </c>
      <c r="D160" s="34" t="n">
        <f aca="false">IFERROR(VALUE(SUBSTITUTE(INDEX('Paste BPG'!$A:$Z,MATCH($B160,'Paste BPG'!$C:$C,0),MATCH("BP UP/TUP",'Paste BPG'!$3:$3,0)),".","")),0)</f>
        <v>0</v>
      </c>
      <c r="E160" s="34" t="n">
        <f aca="false">IFERROR(VALUE(SUBSTITUTE(INDEX('Paste BPG'!$A:$Z,MATCH($B160,'Paste BPG'!$C:$C,0),MATCH("BP LS BENDAHARA",'Paste BPG'!$3:$3,0)),".","")),0)</f>
        <v>0</v>
      </c>
      <c r="F160" s="23" t="n">
        <f aca="false">IFERROR(VALUE(SUBSTITUTE(INDEX('Paste BPG'!$A:$Z,MATCH($B160,'Paste BPG'!$C:$C,0),MATCH("BP PAJAK",'Paste BPG'!$3:$3,0)),".","")),0)</f>
        <v>0</v>
      </c>
      <c r="G160" s="23" t="n">
        <f aca="false">IFERROR(VALUE(SUBSTITUTE(INDEX('Paste BPG'!$A:$Z,MATCH($B160,'Paste BPG'!$C:$C,0),MATCH("BP HIBAH",'Paste BPG'!$3:$3,0)),".","")),0)</f>
        <v>0</v>
      </c>
      <c r="H160" s="23" t="n">
        <f aca="false">IFERROR(VALUE(SUBSTITUTE(INDEX('Paste BPG'!$A:$Z,MATCH($B160,'Paste BPG'!$C:$C,0),MATCH("BP LAIN-LAIN",'Paste BPG'!$3:$3,0)),".","")),0)</f>
        <v>0</v>
      </c>
      <c r="I160" s="24" t="n">
        <f aca="false">D160+E160+F160+G160+H160</f>
        <v>0</v>
      </c>
      <c r="J160" s="23" t="n">
        <f aca="false">D160</f>
        <v>0</v>
      </c>
      <c r="K160" s="23" t="n">
        <f aca="false">IFERROR(VALUE(SUBSTITUTE(INDEX('Paste BPG'!$A:$Z,MATCH($B160,'Paste BPG'!$C:$C,0),MATCH("KUITANSI",'Paste BPG'!$3:$3,0)),".","")),0)</f>
        <v>0</v>
      </c>
      <c r="L160" s="24" t="n">
        <f aca="false">J160+K160</f>
        <v>0</v>
      </c>
    </row>
    <row r="161" customFormat="false" ht="15.75" hidden="false" customHeight="true" outlineLevel="0" collapsed="false">
      <c r="A161" s="20" t="n">
        <v>147</v>
      </c>
      <c r="B161" s="20" t="s">
        <v>314</v>
      </c>
      <c r="C161" s="33" t="s">
        <v>315</v>
      </c>
      <c r="D161" s="34" t="n">
        <f aca="false">IFERROR(VALUE(SUBSTITUTE(INDEX('Paste BPG'!$A:$Z,MATCH($B161,'Paste BPG'!$C:$C,0),MATCH("BP UP/TUP",'Paste BPG'!$3:$3,0)),".","")),0)</f>
        <v>0</v>
      </c>
      <c r="E161" s="34" t="n">
        <f aca="false">IFERROR(VALUE(SUBSTITUTE(INDEX('Paste BPG'!$A:$Z,MATCH($B161,'Paste BPG'!$C:$C,0),MATCH("BP LS BENDAHARA",'Paste BPG'!$3:$3,0)),".","")),0)</f>
        <v>0</v>
      </c>
      <c r="F161" s="23" t="n">
        <f aca="false">IFERROR(VALUE(SUBSTITUTE(INDEX('Paste BPG'!$A:$Z,MATCH($B161,'Paste BPG'!$C:$C,0),MATCH("BP PAJAK",'Paste BPG'!$3:$3,0)),".","")),0)</f>
        <v>0</v>
      </c>
      <c r="G161" s="23" t="n">
        <f aca="false">IFERROR(VALUE(SUBSTITUTE(INDEX('Paste BPG'!$A:$Z,MATCH($B161,'Paste BPG'!$C:$C,0),MATCH("BP HIBAH",'Paste BPG'!$3:$3,0)),".","")),0)</f>
        <v>0</v>
      </c>
      <c r="H161" s="23" t="n">
        <f aca="false">IFERROR(VALUE(SUBSTITUTE(INDEX('Paste BPG'!$A:$Z,MATCH($B161,'Paste BPG'!$C:$C,0),MATCH("BP LAIN-LAIN",'Paste BPG'!$3:$3,0)),".","")),0)</f>
        <v>0</v>
      </c>
      <c r="I161" s="24" t="n">
        <f aca="false">D161+E161+F161+G161+H161</f>
        <v>0</v>
      </c>
      <c r="J161" s="23" t="n">
        <f aca="false">D161</f>
        <v>0</v>
      </c>
      <c r="K161" s="23" t="n">
        <f aca="false">IFERROR(VALUE(SUBSTITUTE(INDEX('Paste BPG'!$A:$Z,MATCH($B161,'Paste BPG'!$C:$C,0),MATCH("KUITANSI",'Paste BPG'!$3:$3,0)),".","")),0)</f>
        <v>0</v>
      </c>
      <c r="L161" s="24" t="n">
        <f aca="false">J161+K161</f>
        <v>0</v>
      </c>
    </row>
    <row r="162" customFormat="false" ht="24" hidden="false" customHeight="true" outlineLevel="0" collapsed="false">
      <c r="A162" s="20" t="n">
        <v>148</v>
      </c>
      <c r="B162" s="20" t="s">
        <v>316</v>
      </c>
      <c r="C162" s="36" t="s">
        <v>317</v>
      </c>
      <c r="D162" s="34" t="n">
        <f aca="false">IFERROR(VALUE(SUBSTITUTE(INDEX('Paste BPG'!$A:$Z,MATCH($B162,'Paste BPG'!$C:$C,0),MATCH("BP UP/TUP",'Paste BPG'!$3:$3,0)),".","")),0)</f>
        <v>0</v>
      </c>
      <c r="E162" s="34" t="n">
        <f aca="false">IFERROR(VALUE(SUBSTITUTE(INDEX('Paste BPG'!$A:$Z,MATCH($B162,'Paste BPG'!$C:$C,0),MATCH("BP LS BENDAHARA",'Paste BPG'!$3:$3,0)),".","")),0)</f>
        <v>0</v>
      </c>
      <c r="F162" s="23" t="n">
        <f aca="false">IFERROR(VALUE(SUBSTITUTE(INDEX('Paste BPG'!$A:$Z,MATCH($B162,'Paste BPG'!$C:$C,0),MATCH("BP PAJAK",'Paste BPG'!$3:$3,0)),".","")),0)</f>
        <v>0</v>
      </c>
      <c r="G162" s="23" t="n">
        <f aca="false">IFERROR(VALUE(SUBSTITUTE(INDEX('Paste BPG'!$A:$Z,MATCH($B162,'Paste BPG'!$C:$C,0),MATCH("BP HIBAH",'Paste BPG'!$3:$3,0)),".","")),0)</f>
        <v>0</v>
      </c>
      <c r="H162" s="23" t="n">
        <f aca="false">IFERROR(VALUE(SUBSTITUTE(INDEX('Paste BPG'!$A:$Z,MATCH($B162,'Paste BPG'!$C:$C,0),MATCH("BP LAIN-LAIN",'Paste BPG'!$3:$3,0)),".","")),0)</f>
        <v>0</v>
      </c>
      <c r="I162" s="24" t="n">
        <f aca="false">D162+E162+F162+G162+H162</f>
        <v>0</v>
      </c>
      <c r="J162" s="23" t="n">
        <f aca="false">D162</f>
        <v>0</v>
      </c>
      <c r="K162" s="23" t="n">
        <f aca="false">IFERROR(VALUE(SUBSTITUTE(INDEX('Paste BPG'!$A:$Z,MATCH($B162,'Paste BPG'!$C:$C,0),MATCH("KUITANSI",'Paste BPG'!$3:$3,0)),".","")),0)</f>
        <v>0</v>
      </c>
      <c r="L162" s="24" t="n">
        <f aca="false">J162+K162</f>
        <v>0</v>
      </c>
    </row>
    <row r="163" customFormat="false" ht="33.75" hidden="false" customHeight="true" outlineLevel="0" collapsed="false">
      <c r="A163" s="20" t="n">
        <v>149</v>
      </c>
      <c r="B163" s="20" t="s">
        <v>318</v>
      </c>
      <c r="C163" s="33" t="s">
        <v>319</v>
      </c>
      <c r="D163" s="34" t="n">
        <f aca="false">IFERROR(VALUE(SUBSTITUTE(INDEX('Paste BPG'!$A:$Z,MATCH($B163,'Paste BPG'!$C:$C,0),MATCH("BP UP/TUP",'Paste BPG'!$3:$3,0)),".","")),0)</f>
        <v>0</v>
      </c>
      <c r="E163" s="34" t="n">
        <f aca="false">IFERROR(VALUE(SUBSTITUTE(INDEX('Paste BPG'!$A:$Z,MATCH($B163,'Paste BPG'!$C:$C,0),MATCH("BP LS BENDAHARA",'Paste BPG'!$3:$3,0)),".","")),0)</f>
        <v>0</v>
      </c>
      <c r="F163" s="23" t="n">
        <f aca="false">IFERROR(VALUE(SUBSTITUTE(INDEX('Paste BPG'!$A:$Z,MATCH($B163,'Paste BPG'!$C:$C,0),MATCH("BP PAJAK",'Paste BPG'!$3:$3,0)),".","")),0)</f>
        <v>0</v>
      </c>
      <c r="G163" s="23" t="n">
        <f aca="false">IFERROR(VALUE(SUBSTITUTE(INDEX('Paste BPG'!$A:$Z,MATCH($B163,'Paste BPG'!$C:$C,0),MATCH("BP HIBAH",'Paste BPG'!$3:$3,0)),".","")),0)</f>
        <v>0</v>
      </c>
      <c r="H163" s="23" t="n">
        <f aca="false">IFERROR(VALUE(SUBSTITUTE(INDEX('Paste BPG'!$A:$Z,MATCH($B163,'Paste BPG'!$C:$C,0),MATCH("BP LAIN-LAIN",'Paste BPG'!$3:$3,0)),".","")),0)</f>
        <v>0</v>
      </c>
      <c r="I163" s="24" t="n">
        <f aca="false">D163+E163+F163+G163+H163</f>
        <v>0</v>
      </c>
      <c r="J163" s="23" t="n">
        <f aca="false">D163</f>
        <v>0</v>
      </c>
      <c r="K163" s="23" t="n">
        <f aca="false">IFERROR(VALUE(SUBSTITUTE(INDEX('Paste BPG'!$A:$Z,MATCH($B163,'Paste BPG'!$C:$C,0),MATCH("KUITANSI",'Paste BPG'!$3:$3,0)),".","")),0)</f>
        <v>0</v>
      </c>
      <c r="L163" s="24" t="n">
        <f aca="false">J163+K163</f>
        <v>0</v>
      </c>
    </row>
    <row r="164" customFormat="false" ht="24" hidden="false" customHeight="true" outlineLevel="0" collapsed="false">
      <c r="A164" s="20" t="n">
        <v>150</v>
      </c>
      <c r="B164" s="20" t="s">
        <v>320</v>
      </c>
      <c r="C164" s="35" t="s">
        <v>321</v>
      </c>
      <c r="D164" s="34" t="n">
        <f aca="false">IFERROR(VALUE(SUBSTITUTE(INDEX('Paste BPG'!$A:$Z,MATCH($B164,'Paste BPG'!$C:$C,0),MATCH("BP UP/TUP",'Paste BPG'!$3:$3,0)),".","")),0)</f>
        <v>0</v>
      </c>
      <c r="E164" s="34" t="n">
        <f aca="false">IFERROR(VALUE(SUBSTITUTE(INDEX('Paste BPG'!$A:$Z,MATCH($B164,'Paste BPG'!$C:$C,0),MATCH("BP LS BENDAHARA",'Paste BPG'!$3:$3,0)),".","")),0)</f>
        <v>0</v>
      </c>
      <c r="F164" s="23" t="n">
        <f aca="false">IFERROR(VALUE(SUBSTITUTE(INDEX('Paste BPG'!$A:$Z,MATCH($B164,'Paste BPG'!$C:$C,0),MATCH("BP PAJAK",'Paste BPG'!$3:$3,0)),".","")),0)</f>
        <v>0</v>
      </c>
      <c r="G164" s="23" t="n">
        <f aca="false">IFERROR(VALUE(SUBSTITUTE(INDEX('Paste BPG'!$A:$Z,MATCH($B164,'Paste BPG'!$C:$C,0),MATCH("BP HIBAH",'Paste BPG'!$3:$3,0)),".","")),0)</f>
        <v>0</v>
      </c>
      <c r="H164" s="23" t="n">
        <f aca="false">IFERROR(VALUE(SUBSTITUTE(INDEX('Paste BPG'!$A:$Z,MATCH($B164,'Paste BPG'!$C:$C,0),MATCH("BP LAIN-LAIN",'Paste BPG'!$3:$3,0)),".","")),0)</f>
        <v>0</v>
      </c>
      <c r="I164" s="24" t="n">
        <f aca="false">D164+E164+F164+G164+H164</f>
        <v>0</v>
      </c>
      <c r="J164" s="23" t="n">
        <f aca="false">D164</f>
        <v>0</v>
      </c>
      <c r="K164" s="23" t="n">
        <f aca="false">IFERROR(VALUE(SUBSTITUTE(INDEX('Paste BPG'!$A:$Z,MATCH($B164,'Paste BPG'!$C:$C,0),MATCH("KUITANSI",'Paste BPG'!$3:$3,0)),".","")),0)</f>
        <v>0</v>
      </c>
      <c r="L164" s="24" t="n">
        <f aca="false">J164+K164</f>
        <v>0</v>
      </c>
    </row>
    <row r="165" customFormat="false" ht="24" hidden="false" customHeight="true" outlineLevel="0" collapsed="false">
      <c r="A165" s="20" t="n">
        <v>151</v>
      </c>
      <c r="B165" s="20" t="s">
        <v>322</v>
      </c>
      <c r="C165" s="33" t="s">
        <v>323</v>
      </c>
      <c r="D165" s="34" t="n">
        <f aca="false">IFERROR(VALUE(SUBSTITUTE(INDEX('Paste BPG'!$A:$Z,MATCH($B165,'Paste BPG'!$C:$C,0),MATCH("BP UP/TUP",'Paste BPG'!$3:$3,0)),".","")),0)</f>
        <v>0</v>
      </c>
      <c r="E165" s="34" t="n">
        <f aca="false">IFERROR(VALUE(SUBSTITUTE(INDEX('Paste BPG'!$A:$Z,MATCH($B165,'Paste BPG'!$C:$C,0),MATCH("BP LS BENDAHARA",'Paste BPG'!$3:$3,0)),".","")),0)</f>
        <v>0</v>
      </c>
      <c r="F165" s="23" t="n">
        <f aca="false">IFERROR(VALUE(SUBSTITUTE(INDEX('Paste BPG'!$A:$Z,MATCH($B165,'Paste BPG'!$C:$C,0),MATCH("BP PAJAK",'Paste BPG'!$3:$3,0)),".","")),0)</f>
        <v>0</v>
      </c>
      <c r="G165" s="23" t="n">
        <f aca="false">IFERROR(VALUE(SUBSTITUTE(INDEX('Paste BPG'!$A:$Z,MATCH($B165,'Paste BPG'!$C:$C,0),MATCH("BP HIBAH",'Paste BPG'!$3:$3,0)),".","")),0)</f>
        <v>0</v>
      </c>
      <c r="H165" s="23" t="n">
        <f aca="false">IFERROR(VALUE(SUBSTITUTE(INDEX('Paste BPG'!$A:$Z,MATCH($B165,'Paste BPG'!$C:$C,0),MATCH("BP LAIN-LAIN",'Paste BPG'!$3:$3,0)),".","")),0)</f>
        <v>0</v>
      </c>
      <c r="I165" s="24" t="n">
        <f aca="false">D165+E165+F165+G165+H165</f>
        <v>0</v>
      </c>
      <c r="J165" s="23" t="n">
        <f aca="false">D165</f>
        <v>0</v>
      </c>
      <c r="K165" s="23" t="n">
        <f aca="false">IFERROR(VALUE(SUBSTITUTE(INDEX('Paste BPG'!$A:$Z,MATCH($B165,'Paste BPG'!$C:$C,0),MATCH("KUITANSI",'Paste BPG'!$3:$3,0)),".","")),0)</f>
        <v>0</v>
      </c>
      <c r="L165" s="24" t="n">
        <f aca="false">J165+K165</f>
        <v>0</v>
      </c>
    </row>
    <row r="166" customFormat="false" ht="34.5" hidden="false" customHeight="true" outlineLevel="0" collapsed="false">
      <c r="A166" s="20" t="n">
        <v>152</v>
      </c>
      <c r="B166" s="20" t="s">
        <v>324</v>
      </c>
      <c r="C166" s="33" t="s">
        <v>325</v>
      </c>
      <c r="D166" s="34" t="n">
        <f aca="false">IFERROR(VALUE(SUBSTITUTE(INDEX('Paste BPG'!$A:$Z,MATCH($B166,'Paste BPG'!$C:$C,0),MATCH("BP UP/TUP",'Paste BPG'!$3:$3,0)),".","")),0)</f>
        <v>0</v>
      </c>
      <c r="E166" s="34" t="n">
        <f aca="false">IFERROR(VALUE(SUBSTITUTE(INDEX('Paste BPG'!$A:$Z,MATCH($B166,'Paste BPG'!$C:$C,0),MATCH("BP LS BENDAHARA",'Paste BPG'!$3:$3,0)),".","")),0)</f>
        <v>0</v>
      </c>
      <c r="F166" s="23" t="n">
        <f aca="false">IFERROR(VALUE(SUBSTITUTE(INDEX('Paste BPG'!$A:$Z,MATCH($B166,'Paste BPG'!$C:$C,0),MATCH("BP PAJAK",'Paste BPG'!$3:$3,0)),".","")),0)</f>
        <v>0</v>
      </c>
      <c r="G166" s="23" t="n">
        <f aca="false">IFERROR(VALUE(SUBSTITUTE(INDEX('Paste BPG'!$A:$Z,MATCH($B166,'Paste BPG'!$C:$C,0),MATCH("BP HIBAH",'Paste BPG'!$3:$3,0)),".","")),0)</f>
        <v>0</v>
      </c>
      <c r="H166" s="23" t="n">
        <f aca="false">IFERROR(VALUE(SUBSTITUTE(INDEX('Paste BPG'!$A:$Z,MATCH($B166,'Paste BPG'!$C:$C,0),MATCH("BP LAIN-LAIN",'Paste BPG'!$3:$3,0)),".","")),0)</f>
        <v>0</v>
      </c>
      <c r="I166" s="24" t="n">
        <f aca="false">D166+E166+F166+G166+H166</f>
        <v>0</v>
      </c>
      <c r="J166" s="23" t="n">
        <f aca="false">D166</f>
        <v>0</v>
      </c>
      <c r="K166" s="23" t="n">
        <f aca="false">IFERROR(VALUE(SUBSTITUTE(INDEX('Paste BPG'!$A:$Z,MATCH($B166,'Paste BPG'!$C:$C,0),MATCH("KUITANSI",'Paste BPG'!$3:$3,0)),".","")),0)</f>
        <v>0</v>
      </c>
      <c r="L166" s="24" t="n">
        <f aca="false">J166+K166</f>
        <v>0</v>
      </c>
    </row>
    <row r="167" customFormat="false" ht="24" hidden="false" customHeight="true" outlineLevel="0" collapsed="false">
      <c r="A167" s="20" t="n">
        <v>153</v>
      </c>
      <c r="B167" s="20" t="s">
        <v>326</v>
      </c>
      <c r="C167" s="33" t="s">
        <v>327</v>
      </c>
      <c r="D167" s="34" t="n">
        <f aca="false">IFERROR(VALUE(SUBSTITUTE(INDEX('Paste BPG'!$A:$Z,MATCH($B167,'Paste BPG'!$C:$C,0),MATCH("BP UP/TUP",'Paste BPG'!$3:$3,0)),".","")),0)</f>
        <v>0</v>
      </c>
      <c r="E167" s="34" t="n">
        <f aca="false">IFERROR(VALUE(SUBSTITUTE(INDEX('Paste BPG'!$A:$Z,MATCH($B167,'Paste BPG'!$C:$C,0),MATCH("BP LS BENDAHARA",'Paste BPG'!$3:$3,0)),".","")),0)</f>
        <v>0</v>
      </c>
      <c r="F167" s="23" t="n">
        <f aca="false">IFERROR(VALUE(SUBSTITUTE(INDEX('Paste BPG'!$A:$Z,MATCH($B167,'Paste BPG'!$C:$C,0),MATCH("BP PAJAK",'Paste BPG'!$3:$3,0)),".","")),0)</f>
        <v>0</v>
      </c>
      <c r="G167" s="23" t="n">
        <f aca="false">IFERROR(VALUE(SUBSTITUTE(INDEX('Paste BPG'!$A:$Z,MATCH($B167,'Paste BPG'!$C:$C,0),MATCH("BP HIBAH",'Paste BPG'!$3:$3,0)),".","")),0)</f>
        <v>0</v>
      </c>
      <c r="H167" s="23" t="n">
        <f aca="false">IFERROR(VALUE(SUBSTITUTE(INDEX('Paste BPG'!$A:$Z,MATCH($B167,'Paste BPG'!$C:$C,0),MATCH("BP LAIN-LAIN",'Paste BPG'!$3:$3,0)),".","")),0)</f>
        <v>0</v>
      </c>
      <c r="I167" s="24" t="n">
        <f aca="false">D167+E167+F167+G167+H167</f>
        <v>0</v>
      </c>
      <c r="J167" s="23" t="n">
        <f aca="false">D167</f>
        <v>0</v>
      </c>
      <c r="K167" s="23" t="n">
        <f aca="false">IFERROR(VALUE(SUBSTITUTE(INDEX('Paste BPG'!$A:$Z,MATCH($B167,'Paste BPG'!$C:$C,0),MATCH("KUITANSI",'Paste BPG'!$3:$3,0)),".","")),0)</f>
        <v>0</v>
      </c>
      <c r="L167" s="24" t="n">
        <f aca="false">J167+K167</f>
        <v>0</v>
      </c>
    </row>
    <row r="168" customFormat="false" ht="24" hidden="false" customHeight="true" outlineLevel="0" collapsed="false">
      <c r="A168" s="20" t="n">
        <v>154</v>
      </c>
      <c r="B168" s="20" t="s">
        <v>328</v>
      </c>
      <c r="C168" s="37" t="s">
        <v>329</v>
      </c>
      <c r="D168" s="34" t="n">
        <f aca="false">IFERROR(VALUE(SUBSTITUTE(INDEX('Paste BPG'!$A:$Z,MATCH($B168,'Paste BPG'!$C:$C,0),MATCH("BP UP/TUP",'Paste BPG'!$3:$3,0)),".","")),0)</f>
        <v>0</v>
      </c>
      <c r="E168" s="34" t="n">
        <f aca="false">IFERROR(VALUE(SUBSTITUTE(INDEX('Paste BPG'!$A:$Z,MATCH($B168,'Paste BPG'!$C:$C,0),MATCH("BP LS BENDAHARA",'Paste BPG'!$3:$3,0)),".","")),0)</f>
        <v>0</v>
      </c>
      <c r="F168" s="23" t="n">
        <f aca="false">IFERROR(VALUE(SUBSTITUTE(INDEX('Paste BPG'!$A:$Z,MATCH($B168,'Paste BPG'!$C:$C,0),MATCH("BP PAJAK",'Paste BPG'!$3:$3,0)),".","")),0)</f>
        <v>0</v>
      </c>
      <c r="G168" s="23" t="n">
        <f aca="false">IFERROR(VALUE(SUBSTITUTE(INDEX('Paste BPG'!$A:$Z,MATCH($B168,'Paste BPG'!$C:$C,0),MATCH("BP HIBAH",'Paste BPG'!$3:$3,0)),".","")),0)</f>
        <v>0</v>
      </c>
      <c r="H168" s="23" t="n">
        <f aca="false">IFERROR(VALUE(SUBSTITUTE(INDEX('Paste BPG'!$A:$Z,MATCH($B168,'Paste BPG'!$C:$C,0),MATCH("BP LAIN-LAIN",'Paste BPG'!$3:$3,0)),".","")),0)</f>
        <v>0</v>
      </c>
      <c r="I168" s="24" t="n">
        <f aca="false">D168+E168+F168+G168+H168</f>
        <v>0</v>
      </c>
      <c r="J168" s="23" t="n">
        <f aca="false">D168</f>
        <v>0</v>
      </c>
      <c r="K168" s="23" t="n">
        <f aca="false">IFERROR(VALUE(SUBSTITUTE(INDEX('Paste BPG'!$A:$Z,MATCH($B168,'Paste BPG'!$C:$C,0),MATCH("KUITANSI",'Paste BPG'!$3:$3,0)),".","")),0)</f>
        <v>0</v>
      </c>
      <c r="L168" s="24" t="n">
        <f aca="false">J168+K168</f>
        <v>0</v>
      </c>
    </row>
    <row r="169" customFormat="false" ht="35.25" hidden="false" customHeight="true" outlineLevel="0" collapsed="false">
      <c r="A169" s="20" t="n">
        <v>155</v>
      </c>
      <c r="B169" s="20" t="s">
        <v>330</v>
      </c>
      <c r="C169" s="37" t="s">
        <v>331</v>
      </c>
      <c r="D169" s="34" t="n">
        <f aca="false">IFERROR(VALUE(SUBSTITUTE(INDEX('Paste BPG'!$A:$Z,MATCH($B169,'Paste BPG'!$C:$C,0),MATCH("BP UP/TUP",'Paste BPG'!$3:$3,0)),".","")),0)</f>
        <v>0</v>
      </c>
      <c r="E169" s="34" t="n">
        <f aca="false">IFERROR(VALUE(SUBSTITUTE(INDEX('Paste BPG'!$A:$Z,MATCH($B169,'Paste BPG'!$C:$C,0),MATCH("BP LS BENDAHARA",'Paste BPG'!$3:$3,0)),".","")),0)</f>
        <v>0</v>
      </c>
      <c r="F169" s="23" t="n">
        <f aca="false">IFERROR(VALUE(SUBSTITUTE(INDEX('Paste BPG'!$A:$Z,MATCH($B169,'Paste BPG'!$C:$C,0),MATCH("BP PAJAK",'Paste BPG'!$3:$3,0)),".","")),0)</f>
        <v>0</v>
      </c>
      <c r="G169" s="23" t="n">
        <f aca="false">IFERROR(VALUE(SUBSTITUTE(INDEX('Paste BPG'!$A:$Z,MATCH($B169,'Paste BPG'!$C:$C,0),MATCH("BP HIBAH",'Paste BPG'!$3:$3,0)),".","")),0)</f>
        <v>0</v>
      </c>
      <c r="H169" s="23" t="n">
        <f aca="false">IFERROR(VALUE(SUBSTITUTE(INDEX('Paste BPG'!$A:$Z,MATCH($B169,'Paste BPG'!$C:$C,0),MATCH("BP LAIN-LAIN",'Paste BPG'!$3:$3,0)),".","")),0)</f>
        <v>0</v>
      </c>
      <c r="I169" s="24" t="n">
        <f aca="false">D169+E169+F169+G169+H169</f>
        <v>0</v>
      </c>
      <c r="J169" s="23" t="n">
        <f aca="false">D169</f>
        <v>0</v>
      </c>
      <c r="K169" s="23" t="n">
        <f aca="false">IFERROR(VALUE(SUBSTITUTE(INDEX('Paste BPG'!$A:$Z,MATCH($B169,'Paste BPG'!$C:$C,0),MATCH("KUITANSI",'Paste BPG'!$3:$3,0)),".","")),0)</f>
        <v>0</v>
      </c>
      <c r="L169" s="24" t="n">
        <f aca="false">J169+K169</f>
        <v>0</v>
      </c>
    </row>
    <row r="170" customFormat="false" ht="15.75" hidden="false" customHeight="true" outlineLevel="0" collapsed="false">
      <c r="A170" s="38"/>
      <c r="B170" s="28" t="s">
        <v>332</v>
      </c>
      <c r="C170" s="39" t="s">
        <v>333</v>
      </c>
      <c r="D170" s="40" t="n">
        <f aca="false">SUM(D171+D172+D173+D174+D175)</f>
        <v>0</v>
      </c>
      <c r="E170" s="40" t="n">
        <f aca="false">SUM(E171+E172+E173+E174+E175)</f>
        <v>0</v>
      </c>
      <c r="F170" s="40" t="n">
        <f aca="false">SUM(F171+F172+F173+F174+F175)</f>
        <v>0</v>
      </c>
      <c r="G170" s="40" t="n">
        <f aca="false">SUM(G171+G172+G173+G174+G175)</f>
        <v>0</v>
      </c>
      <c r="H170" s="40" t="n">
        <f aca="false">SUM(H171+H172+H173+H174+H175)</f>
        <v>0</v>
      </c>
      <c r="I170" s="18" t="n">
        <f aca="false">D170+E170+F170+G170+H170</f>
        <v>0</v>
      </c>
      <c r="J170" s="40" t="n">
        <f aca="false">SUM(J171+J172+J173+J174+J175)</f>
        <v>0</v>
      </c>
      <c r="K170" s="40" t="n">
        <f aca="false">SUM(K171+K172+K173+K174+K175)</f>
        <v>0</v>
      </c>
      <c r="L170" s="18" t="n">
        <f aca="false">J170+K170</f>
        <v>0</v>
      </c>
    </row>
    <row r="171" customFormat="false" ht="19.5" hidden="false" customHeight="true" outlineLevel="0" collapsed="false">
      <c r="A171" s="20" t="n">
        <v>156</v>
      </c>
      <c r="B171" s="20" t="s">
        <v>334</v>
      </c>
      <c r="C171" s="33" t="s">
        <v>335</v>
      </c>
      <c r="D171" s="34" t="n">
        <f aca="false">IFERROR(VALUE(SUBSTITUTE(INDEX('Paste BPG'!$A:$Z,MATCH($B171,'Paste BPG'!$C:$C,0),MATCH("BP UP/TUP",'Paste BPG'!$3:$3,0)),".","")),0)</f>
        <v>0</v>
      </c>
      <c r="E171" s="34" t="n">
        <f aca="false">IFERROR(VALUE(SUBSTITUTE(INDEX('Paste BPG'!$A:$Z,MATCH($B171,'Paste BPG'!$C:$C,0),MATCH("BP LS BENDAHARA",'Paste BPG'!$3:$3,0)),".","")),0)</f>
        <v>0</v>
      </c>
      <c r="F171" s="23" t="n">
        <f aca="false">IFERROR(VALUE(SUBSTITUTE(INDEX('Paste BPG'!$A:$Z,MATCH($B171,'Paste BPG'!$C:$C,0),MATCH("BP PAJAK",'Paste BPG'!$3:$3,0)),".","")),0)</f>
        <v>0</v>
      </c>
      <c r="G171" s="23" t="n">
        <f aca="false">IFERROR(VALUE(SUBSTITUTE(INDEX('Paste BPG'!$A:$Z,MATCH($B171,'Paste BPG'!$C:$C,0),MATCH("BP HIBAH",'Paste BPG'!$3:$3,0)),".","")),0)</f>
        <v>0</v>
      </c>
      <c r="H171" s="23" t="n">
        <f aca="false">IFERROR(VALUE(SUBSTITUTE(INDEX('Paste BPG'!$A:$Z,MATCH($B171,'Paste BPG'!$C:$C,0),MATCH("BP LAIN-LAIN",'Paste BPG'!$3:$3,0)),".","")),0)</f>
        <v>0</v>
      </c>
      <c r="I171" s="24" t="n">
        <f aca="false">D171+E171+F171+G171+H171</f>
        <v>0</v>
      </c>
      <c r="J171" s="23" t="n">
        <f aca="false">D171</f>
        <v>0</v>
      </c>
      <c r="K171" s="23" t="n">
        <f aca="false">IFERROR(VALUE(SUBSTITUTE(INDEX('Paste BPG'!$A:$Z,MATCH($B171,'Paste BPG'!$C:$C,0),MATCH("KUITANSI",'Paste BPG'!$3:$3,0)),".","")),0)</f>
        <v>0</v>
      </c>
      <c r="L171" s="24" t="n">
        <f aca="false">J171+K171</f>
        <v>0</v>
      </c>
    </row>
    <row r="172" customFormat="false" ht="19.5" hidden="false" customHeight="true" outlineLevel="0" collapsed="false">
      <c r="A172" s="20" t="n">
        <v>157</v>
      </c>
      <c r="B172" s="20" t="s">
        <v>336</v>
      </c>
      <c r="C172" s="33" t="s">
        <v>337</v>
      </c>
      <c r="D172" s="34" t="n">
        <f aca="false">IFERROR(VALUE(SUBSTITUTE(INDEX('Paste BPG'!$A:$Z,MATCH($B172,'Paste BPG'!$C:$C,0),MATCH("BP UP/TUP",'Paste BPG'!$3:$3,0)),".","")),0)</f>
        <v>0</v>
      </c>
      <c r="E172" s="34" t="n">
        <f aca="false">IFERROR(VALUE(SUBSTITUTE(INDEX('Paste BPG'!$A:$Z,MATCH($B172,'Paste BPG'!$C:$C,0),MATCH("BP LS BENDAHARA",'Paste BPG'!$3:$3,0)),".","")),0)</f>
        <v>0</v>
      </c>
      <c r="F172" s="23" t="n">
        <f aca="false">IFERROR(VALUE(SUBSTITUTE(INDEX('Paste BPG'!$A:$Z,MATCH($B172,'Paste BPG'!$C:$C,0),MATCH("BP PAJAK",'Paste BPG'!$3:$3,0)),".","")),0)</f>
        <v>0</v>
      </c>
      <c r="G172" s="23" t="n">
        <f aca="false">IFERROR(VALUE(SUBSTITUTE(INDEX('Paste BPG'!$A:$Z,MATCH($B172,'Paste BPG'!$C:$C,0),MATCH("BP HIBAH",'Paste BPG'!$3:$3,0)),".","")),0)</f>
        <v>0</v>
      </c>
      <c r="H172" s="23" t="n">
        <f aca="false">IFERROR(VALUE(SUBSTITUTE(INDEX('Paste BPG'!$A:$Z,MATCH($B172,'Paste BPG'!$C:$C,0),MATCH("BP LAIN-LAIN",'Paste BPG'!$3:$3,0)),".","")),0)</f>
        <v>0</v>
      </c>
      <c r="I172" s="24" t="n">
        <f aca="false">D172+E172+F172+G172+H172</f>
        <v>0</v>
      </c>
      <c r="J172" s="23" t="n">
        <f aca="false">D172</f>
        <v>0</v>
      </c>
      <c r="K172" s="23" t="n">
        <f aca="false">IFERROR(VALUE(SUBSTITUTE(INDEX('Paste BPG'!$A:$Z,MATCH($B172,'Paste BPG'!$C:$C,0),MATCH("KUITANSI",'Paste BPG'!$3:$3,0)),".","")),0)</f>
        <v>0</v>
      </c>
      <c r="L172" s="24" t="n">
        <f aca="false">J172+K172</f>
        <v>0</v>
      </c>
    </row>
    <row r="173" customFormat="false" ht="19.5" hidden="false" customHeight="true" outlineLevel="0" collapsed="false">
      <c r="A173" s="20" t="n">
        <v>158</v>
      </c>
      <c r="B173" s="20" t="s">
        <v>338</v>
      </c>
      <c r="C173" s="33" t="s">
        <v>339</v>
      </c>
      <c r="D173" s="34" t="n">
        <f aca="false">IFERROR(VALUE(SUBSTITUTE(INDEX('Paste BPG'!$A:$Z,MATCH($B173,'Paste BPG'!$C:$C,0),MATCH("BP UP/TUP",'Paste BPG'!$3:$3,0)),".","")),0)</f>
        <v>0</v>
      </c>
      <c r="E173" s="34" t="n">
        <f aca="false">IFERROR(VALUE(SUBSTITUTE(INDEX('Paste BPG'!$A:$Z,MATCH($B173,'Paste BPG'!$C:$C,0),MATCH("BP LS BENDAHARA",'Paste BPG'!$3:$3,0)),".","")),0)</f>
        <v>0</v>
      </c>
      <c r="F173" s="23" t="n">
        <f aca="false">IFERROR(VALUE(SUBSTITUTE(INDEX('Paste BPG'!$A:$Z,MATCH($B173,'Paste BPG'!$C:$C,0),MATCH("BP PAJAK",'Paste BPG'!$3:$3,0)),".","")),0)</f>
        <v>0</v>
      </c>
      <c r="G173" s="23" t="n">
        <f aca="false">IFERROR(VALUE(SUBSTITUTE(INDEX('Paste BPG'!$A:$Z,MATCH($B173,'Paste BPG'!$C:$C,0),MATCH("BP HIBAH",'Paste BPG'!$3:$3,0)),".","")),0)</f>
        <v>0</v>
      </c>
      <c r="H173" s="23" t="n">
        <f aca="false">IFERROR(VALUE(SUBSTITUTE(INDEX('Paste BPG'!$A:$Z,MATCH($B173,'Paste BPG'!$C:$C,0),MATCH("BP LAIN-LAIN",'Paste BPG'!$3:$3,0)),".","")),0)</f>
        <v>0</v>
      </c>
      <c r="I173" s="24" t="n">
        <f aca="false">D173+E173+F173+G173+H173</f>
        <v>0</v>
      </c>
      <c r="J173" s="23" t="n">
        <f aca="false">D173</f>
        <v>0</v>
      </c>
      <c r="K173" s="23" t="n">
        <f aca="false">IFERROR(VALUE(SUBSTITUTE(INDEX('Paste BPG'!$A:$Z,MATCH($B173,'Paste BPG'!$C:$C,0),MATCH("KUITANSI",'Paste BPG'!$3:$3,0)),".","")),0)</f>
        <v>0</v>
      </c>
      <c r="L173" s="24" t="n">
        <f aca="false">J173+K173</f>
        <v>0</v>
      </c>
    </row>
    <row r="174" customFormat="false" ht="19.5" hidden="false" customHeight="true" outlineLevel="0" collapsed="false">
      <c r="A174" s="20" t="n">
        <v>159</v>
      </c>
      <c r="B174" s="20" t="s">
        <v>340</v>
      </c>
      <c r="C174" s="33" t="s">
        <v>341</v>
      </c>
      <c r="D174" s="34" t="n">
        <f aca="false">IFERROR(VALUE(SUBSTITUTE(INDEX('Paste BPG'!$A:$Z,MATCH($B174,'Paste BPG'!$C:$C,0),MATCH("BP UP/TUP",'Paste BPG'!$3:$3,0)),".","")),0)</f>
        <v>0</v>
      </c>
      <c r="E174" s="34" t="n">
        <f aca="false">IFERROR(VALUE(SUBSTITUTE(INDEX('Paste BPG'!$A:$Z,MATCH($B174,'Paste BPG'!$C:$C,0),MATCH("BP LS BENDAHARA",'Paste BPG'!$3:$3,0)),".","")),0)</f>
        <v>0</v>
      </c>
      <c r="F174" s="23" t="n">
        <f aca="false">IFERROR(VALUE(SUBSTITUTE(INDEX('Paste BPG'!$A:$Z,MATCH($B174,'Paste BPG'!$C:$C,0),MATCH("BP PAJAK",'Paste BPG'!$3:$3,0)),".","")),0)</f>
        <v>0</v>
      </c>
      <c r="G174" s="23" t="n">
        <f aca="false">IFERROR(VALUE(SUBSTITUTE(INDEX('Paste BPG'!$A:$Z,MATCH($B174,'Paste BPG'!$C:$C,0),MATCH("BP HIBAH",'Paste BPG'!$3:$3,0)),".","")),0)</f>
        <v>0</v>
      </c>
      <c r="H174" s="23" t="n">
        <f aca="false">IFERROR(VALUE(SUBSTITUTE(INDEX('Paste BPG'!$A:$Z,MATCH($B174,'Paste BPG'!$C:$C,0),MATCH("BP LAIN-LAIN",'Paste BPG'!$3:$3,0)),".","")),0)</f>
        <v>0</v>
      </c>
      <c r="I174" s="24" t="n">
        <f aca="false">D174+E174+F174+G174+H174</f>
        <v>0</v>
      </c>
      <c r="J174" s="23" t="n">
        <f aca="false">D174</f>
        <v>0</v>
      </c>
      <c r="K174" s="23" t="n">
        <f aca="false">IFERROR(VALUE(SUBSTITUTE(INDEX('Paste BPG'!$A:$Z,MATCH($B174,'Paste BPG'!$C:$C,0),MATCH("KUITANSI",'Paste BPG'!$3:$3,0)),".","")),0)</f>
        <v>0</v>
      </c>
      <c r="L174" s="24" t="n">
        <f aca="false">J174+K174</f>
        <v>0</v>
      </c>
    </row>
    <row r="175" customFormat="false" ht="19.5" hidden="false" customHeight="true" outlineLevel="0" collapsed="false">
      <c r="A175" s="20" t="n">
        <v>160</v>
      </c>
      <c r="B175" s="20" t="s">
        <v>342</v>
      </c>
      <c r="C175" s="35" t="s">
        <v>343</v>
      </c>
      <c r="D175" s="34" t="n">
        <f aca="false">IFERROR(VALUE(SUBSTITUTE(INDEX('Paste BPG'!$A:$Z,MATCH($B175,'Paste BPG'!$C:$C,0),MATCH("BP UP/TUP",'Paste BPG'!$3:$3,0)),".","")),0)</f>
        <v>0</v>
      </c>
      <c r="E175" s="34" t="n">
        <f aca="false">IFERROR(VALUE(SUBSTITUTE(INDEX('Paste BPG'!$A:$Z,MATCH($B175,'Paste BPG'!$C:$C,0),MATCH("BP LS BENDAHARA",'Paste BPG'!$3:$3,0)),".","")),0)</f>
        <v>0</v>
      </c>
      <c r="F175" s="23" t="n">
        <f aca="false">IFERROR(VALUE(SUBSTITUTE(INDEX('Paste BPG'!$A:$Z,MATCH($B175,'Paste BPG'!$C:$C,0),MATCH("BP PAJAK",'Paste BPG'!$3:$3,0)),".","")),0)</f>
        <v>0</v>
      </c>
      <c r="G175" s="23" t="n">
        <f aca="false">IFERROR(VALUE(SUBSTITUTE(INDEX('Paste BPG'!$A:$Z,MATCH($B175,'Paste BPG'!$C:$C,0),MATCH("BP HIBAH",'Paste BPG'!$3:$3,0)),".","")),0)</f>
        <v>0</v>
      </c>
      <c r="H175" s="23" t="n">
        <f aca="false">IFERROR(VALUE(SUBSTITUTE(INDEX('Paste BPG'!$A:$Z,MATCH($B175,'Paste BPG'!$C:$C,0),MATCH("BP LAIN-LAIN",'Paste BPG'!$3:$3,0)),".","")),0)</f>
        <v>0</v>
      </c>
      <c r="I175" s="24" t="n">
        <f aca="false">D175+E175+F175+G175+H175</f>
        <v>0</v>
      </c>
      <c r="J175" s="23" t="n">
        <f aca="false">D175</f>
        <v>0</v>
      </c>
      <c r="K175" s="23" t="n">
        <f aca="false">IFERROR(VALUE(SUBSTITUTE(INDEX('Paste BPG'!$A:$Z,MATCH($B175,'Paste BPG'!$C:$C,0),MATCH("KUITANSI",'Paste BPG'!$3:$3,0)),".","")),0)</f>
        <v>0</v>
      </c>
      <c r="L175" s="24" t="n">
        <f aca="false">J175+K175</f>
        <v>0</v>
      </c>
    </row>
    <row r="176" customFormat="false" ht="15.75" hidden="false" customHeight="true" outlineLevel="0" collapsed="false">
      <c r="A176" s="38"/>
      <c r="B176" s="28" t="s">
        <v>344</v>
      </c>
      <c r="C176" s="39" t="s">
        <v>345</v>
      </c>
      <c r="D176" s="40" t="n">
        <f aca="false">D177+D178</f>
        <v>0</v>
      </c>
      <c r="E176" s="40" t="n">
        <f aca="false">E177+E178</f>
        <v>0</v>
      </c>
      <c r="F176" s="40" t="n">
        <f aca="false">F177+F178</f>
        <v>0</v>
      </c>
      <c r="G176" s="40" t="n">
        <f aca="false">G177+G178</f>
        <v>0</v>
      </c>
      <c r="H176" s="40" t="n">
        <f aca="false">H177+H178</f>
        <v>0</v>
      </c>
      <c r="I176" s="18" t="n">
        <f aca="false">D176+E176+F176+G176+H176</f>
        <v>0</v>
      </c>
      <c r="J176" s="40" t="n">
        <f aca="false">J177+J178</f>
        <v>0</v>
      </c>
      <c r="K176" s="40" t="n">
        <f aca="false">K177+K178</f>
        <v>0</v>
      </c>
      <c r="L176" s="18" t="n">
        <f aca="false">J176+K176</f>
        <v>0</v>
      </c>
    </row>
    <row r="177" customFormat="false" ht="42.75" hidden="false" customHeight="true" outlineLevel="0" collapsed="false">
      <c r="A177" s="20" t="n">
        <v>161</v>
      </c>
      <c r="B177" s="20" t="s">
        <v>346</v>
      </c>
      <c r="C177" s="33" t="s">
        <v>347</v>
      </c>
      <c r="D177" s="34" t="n">
        <f aca="false">IFERROR(VALUE(SUBSTITUTE(INDEX('Paste BPG'!$A:$Z,MATCH($B177,'Paste BPG'!$C:$C,0),MATCH("BP UP/TUP",'Paste BPG'!$3:$3,0)),".","")),0)</f>
        <v>0</v>
      </c>
      <c r="E177" s="34" t="n">
        <f aca="false">IFERROR(VALUE(SUBSTITUTE(INDEX('Paste BPG'!$A:$Z,MATCH($B177,'Paste BPG'!$C:$C,0),MATCH("BP LS BENDAHARA",'Paste BPG'!$3:$3,0)),".","")),0)</f>
        <v>0</v>
      </c>
      <c r="F177" s="23" t="n">
        <f aca="false">IFERROR(VALUE(SUBSTITUTE(INDEX('Paste BPG'!$A:$Z,MATCH($B177,'Paste BPG'!$C:$C,0),MATCH("BP PAJAK",'Paste BPG'!$3:$3,0)),".","")),0)</f>
        <v>0</v>
      </c>
      <c r="G177" s="23" t="n">
        <f aca="false">IFERROR(VALUE(SUBSTITUTE(INDEX('Paste BPG'!$A:$Z,MATCH($B177,'Paste BPG'!$C:$C,0),MATCH("BP HIBAH",'Paste BPG'!$3:$3,0)),".","")),0)</f>
        <v>0</v>
      </c>
      <c r="H177" s="23" t="n">
        <f aca="false">IFERROR(VALUE(SUBSTITUTE(INDEX('Paste BPG'!$A:$Z,MATCH($B177,'Paste BPG'!$C:$C,0),MATCH("BP LAIN-LAIN",'Paste BPG'!$3:$3,0)),".","")),0)</f>
        <v>0</v>
      </c>
      <c r="I177" s="24" t="n">
        <f aca="false">D177+E177+F177+G177+H177</f>
        <v>0</v>
      </c>
      <c r="J177" s="23" t="n">
        <f aca="false">D177</f>
        <v>0</v>
      </c>
      <c r="K177" s="23" t="n">
        <f aca="false">IFERROR(VALUE(SUBSTITUTE(INDEX('Paste BPG'!$A:$Z,MATCH($B177,'Paste BPG'!$C:$C,0),MATCH("KUITANSI",'Paste BPG'!$3:$3,0)),".","")),0)</f>
        <v>0</v>
      </c>
      <c r="L177" s="24" t="n">
        <f aca="false">J177+K177</f>
        <v>0</v>
      </c>
    </row>
    <row r="178" customFormat="false" ht="39" hidden="false" customHeight="true" outlineLevel="0" collapsed="false">
      <c r="A178" s="20" t="n">
        <v>162</v>
      </c>
      <c r="B178" s="20" t="s">
        <v>348</v>
      </c>
      <c r="C178" s="41" t="s">
        <v>349</v>
      </c>
      <c r="D178" s="34" t="n">
        <f aca="false">IFERROR(VALUE(SUBSTITUTE(INDEX('Paste BPG'!$A:$Z,MATCH($B178,'Paste BPG'!$C:$C,0),MATCH("BP UP/TUP",'Paste BPG'!$3:$3,0)),".","")),0)</f>
        <v>0</v>
      </c>
      <c r="E178" s="34" t="n">
        <f aca="false">IFERROR(VALUE(SUBSTITUTE(INDEX('Paste BPG'!$A:$Z,MATCH($B178,'Paste BPG'!$C:$C,0),MATCH("BP LS BENDAHARA",'Paste BPG'!$3:$3,0)),".","")),0)</f>
        <v>0</v>
      </c>
      <c r="F178" s="23" t="n">
        <f aca="false">IFERROR(VALUE(SUBSTITUTE(INDEX('Paste BPG'!$A:$Z,MATCH($B178,'Paste BPG'!$C:$C,0),MATCH("BP PAJAK",'Paste BPG'!$3:$3,0)),".","")),0)</f>
        <v>0</v>
      </c>
      <c r="G178" s="23" t="n">
        <f aca="false">IFERROR(VALUE(SUBSTITUTE(INDEX('Paste BPG'!$A:$Z,MATCH($B178,'Paste BPG'!$C:$C,0),MATCH("BP HIBAH",'Paste BPG'!$3:$3,0)),".","")),0)</f>
        <v>0</v>
      </c>
      <c r="H178" s="23" t="n">
        <f aca="false">IFERROR(VALUE(SUBSTITUTE(INDEX('Paste BPG'!$A:$Z,MATCH($B178,'Paste BPG'!$C:$C,0),MATCH("BP LAIN-LAIN",'Paste BPG'!$3:$3,0)),".","")),0)</f>
        <v>0</v>
      </c>
      <c r="I178" s="24" t="n">
        <f aca="false">D178+E178+F178+G178+H178</f>
        <v>0</v>
      </c>
      <c r="J178" s="23" t="n">
        <f aca="false">D178</f>
        <v>0</v>
      </c>
      <c r="K178" s="23" t="n">
        <f aca="false">IFERROR(VALUE(SUBSTITUTE(INDEX('Paste BPG'!$A:$Z,MATCH($B178,'Paste BPG'!$C:$C,0),MATCH("KUITANSI",'Paste BPG'!$3:$3,0)),".","")),0)</f>
        <v>0</v>
      </c>
      <c r="L178" s="24" t="n">
        <f aca="false">J178+K178</f>
        <v>0</v>
      </c>
    </row>
    <row r="179" customFormat="false" ht="15.75" hidden="false" customHeight="true" outlineLevel="0" collapsed="false">
      <c r="A179" s="38"/>
      <c r="B179" s="28" t="s">
        <v>350</v>
      </c>
      <c r="C179" s="39" t="s">
        <v>351</v>
      </c>
      <c r="D179" s="40" t="n">
        <f aca="false">D180</f>
        <v>0</v>
      </c>
      <c r="E179" s="40" t="n">
        <f aca="false">E180</f>
        <v>0</v>
      </c>
      <c r="F179" s="18" t="n">
        <f aca="false">F180</f>
        <v>0</v>
      </c>
      <c r="G179" s="18" t="n">
        <f aca="false">G180</f>
        <v>0</v>
      </c>
      <c r="H179" s="18" t="n">
        <f aca="false">H180</f>
        <v>0</v>
      </c>
      <c r="I179" s="18" t="n">
        <f aca="false">D179+E179+F179+G179+H179</f>
        <v>0</v>
      </c>
      <c r="J179" s="32" t="n">
        <f aca="false">J180</f>
        <v>0</v>
      </c>
      <c r="K179" s="32" t="n">
        <f aca="false">K180</f>
        <v>0</v>
      </c>
      <c r="L179" s="18" t="n">
        <f aca="false">J179+K179</f>
        <v>0</v>
      </c>
    </row>
    <row r="180" customFormat="false" ht="28.5" hidden="false" customHeight="true" outlineLevel="0" collapsed="false">
      <c r="A180" s="20" t="n">
        <v>163</v>
      </c>
      <c r="B180" s="20" t="s">
        <v>352</v>
      </c>
      <c r="C180" s="33" t="s">
        <v>353</v>
      </c>
      <c r="D180" s="34" t="n">
        <f aca="false">IFERROR(VALUE(SUBSTITUTE(INDEX('Paste BPG'!$A:$Z,MATCH($B180,'Paste BPG'!$C:$C,0),MATCH("BP UP/TUP",'Paste BPG'!$3:$3,0)),".","")),0)</f>
        <v>0</v>
      </c>
      <c r="E180" s="34" t="n">
        <f aca="false">IFERROR(VALUE(SUBSTITUTE(INDEX('Paste BPG'!$A:$Z,MATCH($B180,'Paste BPG'!$C:$C,0),MATCH("BP LS BENDAHARA",'Paste BPG'!$3:$3,0)),".","")),0)</f>
        <v>0</v>
      </c>
      <c r="F180" s="23" t="n">
        <f aca="false">IFERROR(VALUE(SUBSTITUTE(INDEX('Paste BPG'!$A:$Z,MATCH($B180,'Paste BPG'!$C:$C,0),MATCH("BP PAJAK",'Paste BPG'!$3:$3,0)),".","")),0)</f>
        <v>0</v>
      </c>
      <c r="G180" s="23" t="n">
        <f aca="false">IFERROR(VALUE(SUBSTITUTE(INDEX('Paste BPG'!$A:$Z,MATCH($B180,'Paste BPG'!$C:$C,0),MATCH("BP HIBAH",'Paste BPG'!$3:$3,0)),".","")),0)</f>
        <v>0</v>
      </c>
      <c r="H180" s="23" t="n">
        <f aca="false">IFERROR(VALUE(SUBSTITUTE(INDEX('Paste BPG'!$A:$Z,MATCH($B180,'Paste BPG'!$C:$C,0),MATCH("BP LAIN-LAIN",'Paste BPG'!$3:$3,0)),".","")),0)</f>
        <v>0</v>
      </c>
      <c r="I180" s="24" t="n">
        <f aca="false">D180+E180+F180+G180+H180</f>
        <v>0</v>
      </c>
      <c r="J180" s="23" t="n">
        <f aca="false">D180</f>
        <v>0</v>
      </c>
      <c r="K180" s="23" t="n">
        <f aca="false">IFERROR(VALUE(SUBSTITUTE(INDEX('Paste BPG'!$A:$Z,MATCH($B180,'Paste BPG'!$C:$C,0),MATCH("KUITANSI",'Paste BPG'!$3:$3,0)),".","")),0)</f>
        <v>0</v>
      </c>
      <c r="L180" s="24" t="n">
        <f aca="false">J180+K180</f>
        <v>0</v>
      </c>
    </row>
    <row r="181" customFormat="false" ht="28.5" hidden="false" customHeight="true" outlineLevel="0" collapsed="false">
      <c r="A181" s="42"/>
      <c r="B181" s="28" t="s">
        <v>354</v>
      </c>
      <c r="C181" s="39" t="s">
        <v>355</v>
      </c>
      <c r="D181" s="40" t="n">
        <f aca="false">D182</f>
        <v>0</v>
      </c>
      <c r="E181" s="40" t="n">
        <f aca="false">E182</f>
        <v>0</v>
      </c>
      <c r="F181" s="18" t="n">
        <f aca="false">F182</f>
        <v>0</v>
      </c>
      <c r="G181" s="18" t="n">
        <f aca="false">G182</f>
        <v>0</v>
      </c>
      <c r="H181" s="18" t="n">
        <f aca="false">H182</f>
        <v>0</v>
      </c>
      <c r="I181" s="18" t="n">
        <f aca="false">D181+E181+F181+G181+H181</f>
        <v>0</v>
      </c>
      <c r="J181" s="32" t="n">
        <f aca="false">J182</f>
        <v>0</v>
      </c>
      <c r="K181" s="32" t="n">
        <f aca="false">K182</f>
        <v>0</v>
      </c>
      <c r="L181" s="18" t="n">
        <f aca="false">J181+K181</f>
        <v>0</v>
      </c>
    </row>
    <row r="182" customFormat="false" ht="43.5" hidden="false" customHeight="true" outlineLevel="0" collapsed="false">
      <c r="A182" s="19" t="n">
        <v>164</v>
      </c>
      <c r="B182" s="20" t="s">
        <v>356</v>
      </c>
      <c r="C182" s="33" t="s">
        <v>357</v>
      </c>
      <c r="D182" s="34" t="n">
        <f aca="false">IFERROR(VALUE(SUBSTITUTE(INDEX('Paste BPG'!$A:$Z,MATCH($B182,'Paste BPG'!$C:$C,0),MATCH("BP UP/TUP",'Paste BPG'!$3:$3,0)),".","")),0)</f>
        <v>0</v>
      </c>
      <c r="E182" s="34" t="n">
        <f aca="false">IFERROR(VALUE(SUBSTITUTE(INDEX('Paste BPG'!$A:$Z,MATCH($B182,'Paste BPG'!$C:$C,0),MATCH("BP LS BENDAHARA",'Paste BPG'!$3:$3,0)),".","")),0)</f>
        <v>0</v>
      </c>
      <c r="F182" s="23" t="n">
        <f aca="false">IFERROR(VALUE(SUBSTITUTE(INDEX('Paste BPG'!$A:$Z,MATCH($B182,'Paste BPG'!$C:$C,0),MATCH("BP PAJAK",'Paste BPG'!$3:$3,0)),".","")),0)</f>
        <v>0</v>
      </c>
      <c r="G182" s="23" t="n">
        <f aca="false">IFERROR(VALUE(SUBSTITUTE(INDEX('Paste BPG'!$A:$Z,MATCH($B182,'Paste BPG'!$C:$C,0),MATCH("BP HIBAH",'Paste BPG'!$3:$3,0)),".","")),0)</f>
        <v>0</v>
      </c>
      <c r="H182" s="23" t="n">
        <f aca="false">IFERROR(VALUE(SUBSTITUTE(INDEX('Paste BPG'!$A:$Z,MATCH($B182,'Paste BPG'!$C:$C,0),MATCH("BP LAIN-LAIN",'Paste BPG'!$3:$3,0)),".","")),0)</f>
        <v>0</v>
      </c>
      <c r="I182" s="24" t="n">
        <f aca="false">D182+E182+F182+G182+H182</f>
        <v>0</v>
      </c>
      <c r="J182" s="23" t="n">
        <f aca="false">D182</f>
        <v>0</v>
      </c>
      <c r="K182" s="23" t="n">
        <f aca="false">IFERROR(VALUE(SUBSTITUTE(INDEX('Paste BPG'!$A:$Z,MATCH($B182,'Paste BPG'!$C:$C,0),MATCH("KUITANSI",'Paste BPG'!$3:$3,0)),".","")),0)</f>
        <v>0</v>
      </c>
      <c r="L182" s="24" t="n">
        <f aca="false">J182+K182</f>
        <v>0</v>
      </c>
    </row>
    <row r="183" customFormat="false" ht="32.25" hidden="false" customHeight="true" outlineLevel="0" collapsed="false">
      <c r="A183" s="27"/>
      <c r="B183" s="28" t="s">
        <v>358</v>
      </c>
      <c r="C183" s="17" t="s">
        <v>359</v>
      </c>
      <c r="D183" s="18" t="n">
        <f aca="false">D184</f>
        <v>0</v>
      </c>
      <c r="E183" s="18" t="n">
        <f aca="false">E184</f>
        <v>0</v>
      </c>
      <c r="F183" s="18" t="n">
        <f aca="false">F184</f>
        <v>0</v>
      </c>
      <c r="G183" s="18" t="n">
        <f aca="false">G184</f>
        <v>0</v>
      </c>
      <c r="H183" s="18" t="n">
        <f aca="false">H184</f>
        <v>0</v>
      </c>
      <c r="I183" s="18" t="n">
        <f aca="false">D183+E183+F183+G183+H183</f>
        <v>0</v>
      </c>
      <c r="J183" s="32" t="n">
        <f aca="false">J184</f>
        <v>0</v>
      </c>
      <c r="K183" s="32" t="n">
        <f aca="false">K184</f>
        <v>0</v>
      </c>
      <c r="L183" s="18" t="n">
        <f aca="false">J183+K183</f>
        <v>0</v>
      </c>
    </row>
    <row r="184" customFormat="false" ht="19.5" hidden="false" customHeight="true" outlineLevel="0" collapsed="false">
      <c r="A184" s="19" t="n">
        <v>165</v>
      </c>
      <c r="B184" s="20" t="s">
        <v>360</v>
      </c>
      <c r="C184" s="21" t="s">
        <v>361</v>
      </c>
      <c r="D184" s="23" t="n">
        <f aca="false">IFERROR(VALUE(SUBSTITUTE(INDEX('Paste BPG'!$A:$Z,MATCH($B184,'Paste BPG'!$C:$C,0),MATCH("BP UP/TUP",'Paste BPG'!$3:$3,0)),".","")),0)</f>
        <v>0</v>
      </c>
      <c r="E184" s="23" t="n">
        <f aca="false">IFERROR(VALUE(SUBSTITUTE(INDEX('Paste BPG'!$A:$Z,MATCH($B184,'Paste BPG'!$C:$C,0),MATCH("BP LS BENDAHARA",'Paste BPG'!$3:$3,0)),".","")),0)</f>
        <v>0</v>
      </c>
      <c r="F184" s="23" t="n">
        <f aca="false">IFERROR(VALUE(SUBSTITUTE(INDEX('Paste BPG'!$A:$Z,MATCH($B184,'Paste BPG'!$C:$C,0),MATCH("BP PAJAK",'Paste BPG'!$3:$3,0)),".","")),0)</f>
        <v>0</v>
      </c>
      <c r="G184" s="23" t="n">
        <f aca="false">IFERROR(VALUE(SUBSTITUTE(INDEX('Paste BPG'!$A:$Z,MATCH($B184,'Paste BPG'!$C:$C,0),MATCH("BP HIBAH",'Paste BPG'!$3:$3,0)),".","")),0)</f>
        <v>0</v>
      </c>
      <c r="H184" s="23" t="n">
        <f aca="false">IFERROR(VALUE(SUBSTITUTE(INDEX('Paste BPG'!$A:$Z,MATCH($B184,'Paste BPG'!$C:$C,0),MATCH("BP LAIN-LAIN",'Paste BPG'!$3:$3,0)),".","")),0)</f>
        <v>0</v>
      </c>
      <c r="I184" s="24" t="n">
        <f aca="false">D184+E184+F184+G184+H184</f>
        <v>0</v>
      </c>
      <c r="J184" s="23" t="n">
        <f aca="false">D184</f>
        <v>0</v>
      </c>
      <c r="K184" s="23" t="n">
        <f aca="false">IFERROR(VALUE(SUBSTITUTE(INDEX('Paste BPG'!$A:$Z,MATCH($B184,'Paste BPG'!$C:$C,0),MATCH("KUITANSI",'Paste BPG'!$3:$3,0)),".","")),0)</f>
        <v>0</v>
      </c>
      <c r="L184" s="24" t="n">
        <f aca="false">J184+K184</f>
        <v>0</v>
      </c>
    </row>
    <row r="185" customFormat="false" ht="15.75" hidden="false" customHeight="true" outlineLevel="0" collapsed="false">
      <c r="A185" s="27"/>
      <c r="B185" s="28" t="s">
        <v>362</v>
      </c>
      <c r="C185" s="17" t="s">
        <v>363</v>
      </c>
      <c r="D185" s="18" t="n">
        <f aca="false">D186+D187</f>
        <v>0</v>
      </c>
      <c r="E185" s="18" t="n">
        <f aca="false">E186+E187</f>
        <v>0</v>
      </c>
      <c r="F185" s="18" t="n">
        <f aca="false">F186+F187</f>
        <v>0</v>
      </c>
      <c r="G185" s="18" t="n">
        <f aca="false">G186+G187</f>
        <v>0</v>
      </c>
      <c r="H185" s="18" t="n">
        <f aca="false">H186+H187</f>
        <v>0</v>
      </c>
      <c r="I185" s="18" t="n">
        <f aca="false">D185+E185+F185+G185+H185</f>
        <v>0</v>
      </c>
      <c r="J185" s="32" t="n">
        <f aca="false">J186+J187</f>
        <v>0</v>
      </c>
      <c r="K185" s="32" t="n">
        <f aca="false">K186+K187</f>
        <v>0</v>
      </c>
      <c r="L185" s="18" t="n">
        <f aca="false">J185+K185</f>
        <v>0</v>
      </c>
    </row>
    <row r="186" customFormat="false" ht="28.5" hidden="false" customHeight="true" outlineLevel="0" collapsed="false">
      <c r="A186" s="19" t="n">
        <v>166</v>
      </c>
      <c r="B186" s="20" t="s">
        <v>364</v>
      </c>
      <c r="C186" s="21" t="s">
        <v>365</v>
      </c>
      <c r="D186" s="23" t="n">
        <f aca="false">IFERROR(VALUE(SUBSTITUTE(INDEX('Paste BPG'!$A:$Z,MATCH($B186,'Paste BPG'!$C:$C,0),MATCH("BP UP/TUP",'Paste BPG'!$3:$3,0)),".","")),0)</f>
        <v>0</v>
      </c>
      <c r="E186" s="23" t="n">
        <f aca="false">IFERROR(VALUE(SUBSTITUTE(INDEX('Paste BPG'!$A:$Z,MATCH($B186,'Paste BPG'!$C:$C,0),MATCH("BP LS BENDAHARA",'Paste BPG'!$3:$3,0)),".","")),0)</f>
        <v>0</v>
      </c>
      <c r="F186" s="23" t="n">
        <f aca="false">IFERROR(VALUE(SUBSTITUTE(INDEX('Paste BPG'!$A:$Z,MATCH($B186,'Paste BPG'!$C:$C,0),MATCH("BP PAJAK",'Paste BPG'!$3:$3,0)),".","")),0)</f>
        <v>0</v>
      </c>
      <c r="G186" s="23" t="n">
        <f aca="false">IFERROR(VALUE(SUBSTITUTE(INDEX('Paste BPG'!$A:$Z,MATCH($B186,'Paste BPG'!$C:$C,0),MATCH("BP HIBAH",'Paste BPG'!$3:$3,0)),".","")),0)</f>
        <v>0</v>
      </c>
      <c r="H186" s="23" t="n">
        <f aca="false">IFERROR(VALUE(SUBSTITUTE(INDEX('Paste BPG'!$A:$Z,MATCH($B186,'Paste BPG'!$C:$C,0),MATCH("BP LAIN-LAIN",'Paste BPG'!$3:$3,0)),".","")),0)</f>
        <v>0</v>
      </c>
      <c r="I186" s="24" t="n">
        <f aca="false">D186+E186+F186+G186+H186</f>
        <v>0</v>
      </c>
      <c r="J186" s="23" t="n">
        <f aca="false">D186</f>
        <v>0</v>
      </c>
      <c r="K186" s="23" t="n">
        <f aca="false">IFERROR(VALUE(SUBSTITUTE(INDEX('Paste BPG'!$A:$Z,MATCH($B186,'Paste BPG'!$C:$C,0),MATCH("KUITANSI",'Paste BPG'!$3:$3,0)),".","")),0)</f>
        <v>0</v>
      </c>
      <c r="L186" s="24" t="n">
        <f aca="false">J186+K186</f>
        <v>0</v>
      </c>
    </row>
    <row r="187" customFormat="false" ht="15.75" hidden="false" customHeight="true" outlineLevel="0" collapsed="false">
      <c r="A187" s="19" t="n">
        <v>167</v>
      </c>
      <c r="B187" s="20" t="s">
        <v>366</v>
      </c>
      <c r="C187" s="21" t="s">
        <v>367</v>
      </c>
      <c r="D187" s="23" t="n">
        <f aca="false">IFERROR(VALUE(SUBSTITUTE(INDEX('Paste BPG'!$A:$Z,MATCH($B187,'Paste BPG'!$C:$C,0),MATCH("BP UP/TUP",'Paste BPG'!$3:$3,0)),".","")),0)</f>
        <v>0</v>
      </c>
      <c r="E187" s="23" t="n">
        <f aca="false">IFERROR(VALUE(SUBSTITUTE(INDEX('Paste BPG'!$A:$Z,MATCH($B187,'Paste BPG'!$C:$C,0),MATCH("BP LS BENDAHARA",'Paste BPG'!$3:$3,0)),".","")),0)</f>
        <v>0</v>
      </c>
      <c r="F187" s="23" t="n">
        <f aca="false">IFERROR(VALUE(SUBSTITUTE(INDEX('Paste BPG'!$A:$Z,MATCH($B187,'Paste BPG'!$C:$C,0),MATCH("BP PAJAK",'Paste BPG'!$3:$3,0)),".","")),0)</f>
        <v>0</v>
      </c>
      <c r="G187" s="23" t="n">
        <f aca="false">IFERROR(VALUE(SUBSTITUTE(INDEX('Paste BPG'!$A:$Z,MATCH($B187,'Paste BPG'!$C:$C,0),MATCH("BP HIBAH",'Paste BPG'!$3:$3,0)),".","")),0)</f>
        <v>0</v>
      </c>
      <c r="H187" s="23" t="n">
        <f aca="false">IFERROR(VALUE(SUBSTITUTE(INDEX('Paste BPG'!$A:$Z,MATCH($B187,'Paste BPG'!$C:$C,0),MATCH("BP LAIN-LAIN",'Paste BPG'!$3:$3,0)),".","")),0)</f>
        <v>0</v>
      </c>
      <c r="I187" s="24" t="n">
        <f aca="false">D187+E187+F187+G187+H187</f>
        <v>0</v>
      </c>
      <c r="J187" s="23" t="n">
        <f aca="false">D187</f>
        <v>0</v>
      </c>
      <c r="K187" s="23" t="n">
        <f aca="false">IFERROR(VALUE(SUBSTITUTE(INDEX('Paste BPG'!$A:$Z,MATCH($B187,'Paste BPG'!$C:$C,0),MATCH("KUITANSI",'Paste BPG'!$3:$3,0)),".","")),0)</f>
        <v>0</v>
      </c>
      <c r="L187" s="24" t="n">
        <f aca="false">J187+K187</f>
        <v>0</v>
      </c>
    </row>
    <row r="188" customFormat="false" ht="15.75" hidden="false" customHeight="true" outlineLevel="0" collapsed="false">
      <c r="A188" s="27"/>
      <c r="B188" s="28" t="s">
        <v>368</v>
      </c>
      <c r="C188" s="17" t="s">
        <v>369</v>
      </c>
      <c r="D188" s="18" t="n">
        <f aca="false">D189</f>
        <v>0</v>
      </c>
      <c r="E188" s="18" t="n">
        <f aca="false">E189</f>
        <v>0</v>
      </c>
      <c r="F188" s="18" t="n">
        <f aca="false">F189</f>
        <v>0</v>
      </c>
      <c r="G188" s="18" t="n">
        <f aca="false">G189</f>
        <v>0</v>
      </c>
      <c r="H188" s="18" t="n">
        <f aca="false">H189</f>
        <v>0</v>
      </c>
      <c r="I188" s="18" t="n">
        <f aca="false">D188+E188+F188+G188+H188</f>
        <v>0</v>
      </c>
      <c r="J188" s="32" t="n">
        <f aca="false">J189</f>
        <v>0</v>
      </c>
      <c r="K188" s="32" t="n">
        <f aca="false">K189</f>
        <v>0</v>
      </c>
      <c r="L188" s="18" t="n">
        <f aca="false">J188+K188</f>
        <v>0</v>
      </c>
    </row>
    <row r="189" customFormat="false" ht="28.5" hidden="false" customHeight="true" outlineLevel="0" collapsed="false">
      <c r="A189" s="19" t="n">
        <v>168</v>
      </c>
      <c r="B189" s="20" t="s">
        <v>370</v>
      </c>
      <c r="C189" s="21" t="s">
        <v>371</v>
      </c>
      <c r="D189" s="23" t="n">
        <f aca="false">IFERROR(VALUE(SUBSTITUTE(INDEX('Paste BPG'!$A:$Z,MATCH($B189,'Paste BPG'!$C:$C,0),MATCH("BP UP/TUP",'Paste BPG'!$3:$3,0)),".","")),0)</f>
        <v>0</v>
      </c>
      <c r="E189" s="23" t="n">
        <f aca="false">IFERROR(VALUE(SUBSTITUTE(INDEX('Paste BPG'!$A:$Z,MATCH($B189,'Paste BPG'!$C:$C,0),MATCH("BP LS BENDAHARA",'Paste BPG'!$3:$3,0)),".","")),0)</f>
        <v>0</v>
      </c>
      <c r="F189" s="23" t="n">
        <f aca="false">IFERROR(VALUE(SUBSTITUTE(INDEX('Paste BPG'!$A:$Z,MATCH($B189,'Paste BPG'!$C:$C,0),MATCH("BP PAJAK",'Paste BPG'!$3:$3,0)),".","")),0)</f>
        <v>0</v>
      </c>
      <c r="G189" s="23" t="n">
        <f aca="false">IFERROR(VALUE(SUBSTITUTE(INDEX('Paste BPG'!$A:$Z,MATCH($B189,'Paste BPG'!$C:$C,0),MATCH("BP HIBAH",'Paste BPG'!$3:$3,0)),".","")),0)</f>
        <v>0</v>
      </c>
      <c r="H189" s="23" t="n">
        <f aca="false">IFERROR(VALUE(SUBSTITUTE(INDEX('Paste BPG'!$A:$Z,MATCH($B189,'Paste BPG'!$C:$C,0),MATCH("BP LAIN-LAIN",'Paste BPG'!$3:$3,0)),".","")),0)</f>
        <v>0</v>
      </c>
      <c r="I189" s="24" t="n">
        <f aca="false">D189+E189+F189+G189+H189</f>
        <v>0</v>
      </c>
      <c r="J189" s="23" t="n">
        <f aca="false">D189</f>
        <v>0</v>
      </c>
      <c r="K189" s="23" t="n">
        <f aca="false">IFERROR(VALUE(SUBSTITUTE(INDEX('Paste BPG'!$A:$Z,MATCH($B189,'Paste BPG'!$C:$C,0),MATCH("KUITANSI",'Paste BPG'!$3:$3,0)),".","")),0)</f>
        <v>0</v>
      </c>
      <c r="L189" s="24" t="n">
        <f aca="false">J189+K189</f>
        <v>0</v>
      </c>
    </row>
    <row r="190" customFormat="false" ht="28.5" hidden="false" customHeight="true" outlineLevel="0" collapsed="false">
      <c r="A190" s="27"/>
      <c r="B190" s="28" t="s">
        <v>372</v>
      </c>
      <c r="C190" s="17" t="s">
        <v>373</v>
      </c>
      <c r="D190" s="32" t="n">
        <f aca="false">D191</f>
        <v>0</v>
      </c>
      <c r="E190" s="32" t="n">
        <f aca="false">E191</f>
        <v>0</v>
      </c>
      <c r="F190" s="32" t="n">
        <f aca="false">F191</f>
        <v>0</v>
      </c>
      <c r="G190" s="32" t="n">
        <f aca="false">G191</f>
        <v>0</v>
      </c>
      <c r="H190" s="32" t="n">
        <f aca="false">H191</f>
        <v>0</v>
      </c>
      <c r="I190" s="18" t="n">
        <f aca="false">D190+E190+F190+G190+H190</f>
        <v>0</v>
      </c>
      <c r="J190" s="32" t="n">
        <f aca="false">J191</f>
        <v>0</v>
      </c>
      <c r="K190" s="32" t="n">
        <f aca="false">K191</f>
        <v>0</v>
      </c>
      <c r="L190" s="18" t="n">
        <f aca="false">J190+K190</f>
        <v>0</v>
      </c>
    </row>
    <row r="191" customFormat="false" ht="15.75" hidden="false" customHeight="true" outlineLevel="0" collapsed="false">
      <c r="A191" s="19" t="n">
        <v>169</v>
      </c>
      <c r="B191" s="20" t="s">
        <v>374</v>
      </c>
      <c r="C191" s="21" t="s">
        <v>375</v>
      </c>
      <c r="D191" s="23" t="n">
        <f aca="false">IFERROR(VALUE(SUBSTITUTE(INDEX('Paste BPG'!$A:$Z,MATCH($B191,'Paste BPG'!$C:$C,0),MATCH("BP UP/TUP",'Paste BPG'!$3:$3,0)),".","")),0)</f>
        <v>0</v>
      </c>
      <c r="E191" s="23" t="n">
        <f aca="false">IFERROR(VALUE(SUBSTITUTE(INDEX('Paste BPG'!$A:$Z,MATCH($B191,'Paste BPG'!$C:$C,0),MATCH("BP LS BENDAHARA",'Paste BPG'!$3:$3,0)),".","")),0)</f>
        <v>0</v>
      </c>
      <c r="F191" s="23" t="n">
        <f aca="false">IFERROR(VALUE(SUBSTITUTE(INDEX('Paste BPG'!$A:$Z,MATCH($B191,'Paste BPG'!$C:$C,0),MATCH("BP PAJAK",'Paste BPG'!$3:$3,0)),".","")),0)</f>
        <v>0</v>
      </c>
      <c r="G191" s="23" t="n">
        <f aca="false">IFERROR(VALUE(SUBSTITUTE(INDEX('Paste BPG'!$A:$Z,MATCH($B191,'Paste BPG'!$C:$C,0),MATCH("BP HIBAH",'Paste BPG'!$3:$3,0)),".","")),0)</f>
        <v>0</v>
      </c>
      <c r="H191" s="23" t="n">
        <f aca="false">IFERROR(VALUE(SUBSTITUTE(INDEX('Paste BPG'!$A:$Z,MATCH($B191,'Paste BPG'!$C:$C,0),MATCH("BP LAIN-LAIN",'Paste BPG'!$3:$3,0)),".","")),0)</f>
        <v>0</v>
      </c>
      <c r="I191" s="24" t="n">
        <f aca="false">D191+E191+F191+G191+H191</f>
        <v>0</v>
      </c>
      <c r="J191" s="23" t="n">
        <f aca="false">D191</f>
        <v>0</v>
      </c>
      <c r="K191" s="23" t="n">
        <f aca="false">IFERROR(VALUE(SUBSTITUTE(INDEX('Paste BPG'!$A:$Z,MATCH($B191,'Paste BPG'!$C:$C,0),MATCH("KUITANSI",'Paste BPG'!$3:$3,0)),".","")),0)</f>
        <v>0</v>
      </c>
      <c r="L191" s="24" t="n">
        <f aca="false">J191+K191</f>
        <v>0</v>
      </c>
    </row>
    <row r="192" customFormat="false" ht="15.75" hidden="false" customHeight="true" outlineLevel="0" collapsed="false">
      <c r="A192" s="27"/>
      <c r="B192" s="28" t="s">
        <v>376</v>
      </c>
      <c r="C192" s="17" t="s">
        <v>377</v>
      </c>
      <c r="D192" s="18" t="n">
        <f aca="false">D193+D194</f>
        <v>0</v>
      </c>
      <c r="E192" s="18" t="n">
        <f aca="false">E193+E194</f>
        <v>0</v>
      </c>
      <c r="F192" s="18" t="n">
        <f aca="false">F193+F194</f>
        <v>0</v>
      </c>
      <c r="G192" s="18" t="n">
        <f aca="false">G193+G194</f>
        <v>0</v>
      </c>
      <c r="H192" s="18" t="n">
        <f aca="false">H193+H194</f>
        <v>0</v>
      </c>
      <c r="I192" s="18" t="n">
        <f aca="false">D192+E192+F192+G192+H192</f>
        <v>0</v>
      </c>
      <c r="J192" s="32" t="n">
        <f aca="false">J193+J194</f>
        <v>0</v>
      </c>
      <c r="K192" s="32" t="n">
        <f aca="false">K193+K194</f>
        <v>0</v>
      </c>
      <c r="L192" s="18" t="n">
        <f aca="false">J192+K192</f>
        <v>0</v>
      </c>
    </row>
    <row r="193" customFormat="false" ht="15.75" hidden="false" customHeight="true" outlineLevel="0" collapsed="false">
      <c r="A193" s="19" t="n">
        <v>170</v>
      </c>
      <c r="B193" s="20" t="s">
        <v>378</v>
      </c>
      <c r="C193" s="30" t="s">
        <v>379</v>
      </c>
      <c r="D193" s="23" t="n">
        <f aca="false">IFERROR(VALUE(SUBSTITUTE(INDEX('Paste BPG'!$A:$Z,MATCH($B193,'Paste BPG'!$C:$C,0),MATCH("BP UP/TUP",'Paste BPG'!$3:$3,0)),".","")),0)</f>
        <v>0</v>
      </c>
      <c r="E193" s="23" t="n">
        <f aca="false">IFERROR(VALUE(SUBSTITUTE(INDEX('Paste BPG'!$A:$Z,MATCH($B193,'Paste BPG'!$C:$C,0),MATCH("BP LS BENDAHARA",'Paste BPG'!$3:$3,0)),".","")),0)</f>
        <v>0</v>
      </c>
      <c r="F193" s="23" t="n">
        <f aca="false">IFERROR(VALUE(SUBSTITUTE(INDEX('Paste BPG'!$A:$Z,MATCH($B193,'Paste BPG'!$C:$C,0),MATCH("BP PAJAK",'Paste BPG'!$3:$3,0)),".","")),0)</f>
        <v>0</v>
      </c>
      <c r="G193" s="23" t="n">
        <f aca="false">IFERROR(VALUE(SUBSTITUTE(INDEX('Paste BPG'!$A:$Z,MATCH($B193,'Paste BPG'!$C:$C,0),MATCH("BP HIBAH",'Paste BPG'!$3:$3,0)),".","")),0)</f>
        <v>0</v>
      </c>
      <c r="H193" s="23" t="n">
        <f aca="false">IFERROR(VALUE(SUBSTITUTE(INDEX('Paste BPG'!$A:$Z,MATCH($B193,'Paste BPG'!$C:$C,0),MATCH("BP LAIN-LAIN",'Paste BPG'!$3:$3,0)),".","")),0)</f>
        <v>0</v>
      </c>
      <c r="I193" s="24" t="n">
        <f aca="false">D193+E193+F193+G193+H193</f>
        <v>0</v>
      </c>
      <c r="J193" s="23" t="n">
        <f aca="false">D193</f>
        <v>0</v>
      </c>
      <c r="K193" s="23" t="n">
        <f aca="false">IFERROR(VALUE(SUBSTITUTE(INDEX('Paste BPG'!$A:$Z,MATCH($B193,'Paste BPG'!$C:$C,0),MATCH("KUITANSI",'Paste BPG'!$3:$3,0)),".","")),0)</f>
        <v>0</v>
      </c>
      <c r="L193" s="24" t="n">
        <f aca="false">J193+K193</f>
        <v>0</v>
      </c>
    </row>
    <row r="194" customFormat="false" ht="15.75" hidden="false" customHeight="true" outlineLevel="0" collapsed="false">
      <c r="A194" s="19" t="n">
        <v>171</v>
      </c>
      <c r="B194" s="20" t="s">
        <v>380</v>
      </c>
      <c r="C194" s="30" t="s">
        <v>381</v>
      </c>
      <c r="D194" s="23" t="n">
        <f aca="false">IFERROR(VALUE(SUBSTITUTE(INDEX('Paste BPG'!$A:$Z,MATCH($B194,'Paste BPG'!$C:$C,0),MATCH("BP UP/TUP",'Paste BPG'!$3:$3,0)),".","")),0)</f>
        <v>0</v>
      </c>
      <c r="E194" s="23" t="n">
        <f aca="false">IFERROR(VALUE(SUBSTITUTE(INDEX('Paste BPG'!$A:$Z,MATCH($B194,'Paste BPG'!$C:$C,0),MATCH("BP LS BENDAHARA",'Paste BPG'!$3:$3,0)),".","")),0)</f>
        <v>0</v>
      </c>
      <c r="F194" s="23" t="n">
        <f aca="false">IFERROR(VALUE(SUBSTITUTE(INDEX('Paste BPG'!$A:$Z,MATCH($B194,'Paste BPG'!$C:$C,0),MATCH("BP PAJAK",'Paste BPG'!$3:$3,0)),".","")),0)</f>
        <v>0</v>
      </c>
      <c r="G194" s="23" t="n">
        <f aca="false">IFERROR(VALUE(SUBSTITUTE(INDEX('Paste BPG'!$A:$Z,MATCH($B194,'Paste BPG'!$C:$C,0),MATCH("BP HIBAH",'Paste BPG'!$3:$3,0)),".","")),0)</f>
        <v>0</v>
      </c>
      <c r="H194" s="23" t="n">
        <f aca="false">IFERROR(VALUE(SUBSTITUTE(INDEX('Paste BPG'!$A:$Z,MATCH($B194,'Paste BPG'!$C:$C,0),MATCH("BP LAIN-LAIN",'Paste BPG'!$3:$3,0)),".","")),0)</f>
        <v>0</v>
      </c>
      <c r="I194" s="24" t="n">
        <f aca="false">D194+E194+F194+G194+H194</f>
        <v>0</v>
      </c>
      <c r="J194" s="23" t="n">
        <f aca="false">D194</f>
        <v>0</v>
      </c>
      <c r="K194" s="23" t="n">
        <f aca="false">IFERROR(VALUE(SUBSTITUTE(INDEX('Paste BPG'!$A:$Z,MATCH($B194,'Paste BPG'!$C:$C,0),MATCH("KUITANSI",'Paste BPG'!$3:$3,0)),".","")),0)</f>
        <v>0</v>
      </c>
      <c r="L194" s="24" t="n">
        <f aca="false">J194+K194</f>
        <v>0</v>
      </c>
    </row>
    <row r="195" customFormat="false" ht="15.75" hidden="false" customHeight="true" outlineLevel="0" collapsed="false">
      <c r="A195" s="27"/>
      <c r="B195" s="28" t="n">
        <v>141</v>
      </c>
      <c r="C195" s="17" t="s">
        <v>382</v>
      </c>
      <c r="D195" s="18" t="n">
        <f aca="false">D196+D197+D198+D199+D200</f>
        <v>0</v>
      </c>
      <c r="E195" s="18" t="n">
        <f aca="false">E196+E197+E198+E199+E200</f>
        <v>0</v>
      </c>
      <c r="F195" s="18" t="n">
        <f aca="false">F196+F197+F198+F199+F200</f>
        <v>0</v>
      </c>
      <c r="G195" s="18" t="n">
        <f aca="false">G196+G197+G198+G199+G200</f>
        <v>0</v>
      </c>
      <c r="H195" s="18" t="n">
        <f aca="false">H196+H197+H198+H199+H200</f>
        <v>0</v>
      </c>
      <c r="I195" s="18" t="n">
        <f aca="false">I196+I197+I198+I199+I200</f>
        <v>0</v>
      </c>
      <c r="J195" s="18" t="n">
        <f aca="false">J196+J197+J198+J199+J200</f>
        <v>0</v>
      </c>
      <c r="K195" s="18" t="n">
        <f aca="false">K196+K197+K198+K199+K200</f>
        <v>0</v>
      </c>
      <c r="L195" s="18" t="n">
        <f aca="false">L196+L197+L198+L199+L200</f>
        <v>0</v>
      </c>
    </row>
    <row r="196" customFormat="false" ht="34.5" hidden="false" customHeight="true" outlineLevel="0" collapsed="false">
      <c r="A196" s="19" t="n">
        <v>172</v>
      </c>
      <c r="B196" s="20" t="s">
        <v>383</v>
      </c>
      <c r="C196" s="21" t="s">
        <v>384</v>
      </c>
      <c r="D196" s="23" t="n">
        <f aca="false">IFERROR(VALUE(SUBSTITUTE(INDEX('Paste BPG'!$A:$Z,MATCH($B196,'Paste BPG'!$C:$C,0),MATCH("BP UP/TUP",'Paste BPG'!$3:$3,0)),".","")),0)</f>
        <v>0</v>
      </c>
      <c r="E196" s="23" t="n">
        <f aca="false">IFERROR(VALUE(SUBSTITUTE(INDEX('Paste BPG'!$A:$Z,MATCH($B196,'Paste BPG'!$C:$C,0),MATCH("BP LS BENDAHARA",'Paste BPG'!$3:$3,0)),".","")),0)</f>
        <v>0</v>
      </c>
      <c r="F196" s="23" t="n">
        <f aca="false">IFERROR(VALUE(SUBSTITUTE(INDEX('Paste BPG'!$A:$Z,MATCH($B196,'Paste BPG'!$C:$C,0),MATCH("BP PAJAK",'Paste BPG'!$3:$3,0)),".","")),0)</f>
        <v>0</v>
      </c>
      <c r="G196" s="23" t="n">
        <f aca="false">IFERROR(VALUE(SUBSTITUTE(INDEX('Paste BPG'!$A:$Z,MATCH($B196,'Paste BPG'!$C:$C,0),MATCH("BP HIBAH",'Paste BPG'!$3:$3,0)),".","")),0)</f>
        <v>0</v>
      </c>
      <c r="H196" s="23" t="n">
        <f aca="false">IFERROR(VALUE(SUBSTITUTE(INDEX('Paste BPG'!$A:$Z,MATCH($B196,'Paste BPG'!$C:$C,0),MATCH("BP LAIN-LAIN",'Paste BPG'!$3:$3,0)),".","")),0)</f>
        <v>0</v>
      </c>
      <c r="I196" s="24" t="n">
        <f aca="false">D196+E196+F196+G196+H196</f>
        <v>0</v>
      </c>
      <c r="J196" s="23" t="n">
        <f aca="false">D196</f>
        <v>0</v>
      </c>
      <c r="K196" s="23" t="n">
        <f aca="false">IFERROR(VALUE(SUBSTITUTE(INDEX('Paste BPG'!$A:$Z,MATCH($B196,'Paste BPG'!$C:$C,0),MATCH("KUITANSI",'Paste BPG'!$3:$3,0)),".","")),0)</f>
        <v>0</v>
      </c>
      <c r="L196" s="24" t="n">
        <f aca="false">J196+K196</f>
        <v>0</v>
      </c>
    </row>
    <row r="197" customFormat="false" ht="34.5" hidden="false" customHeight="true" outlineLevel="0" collapsed="false">
      <c r="A197" s="19" t="n">
        <v>173</v>
      </c>
      <c r="B197" s="20" t="s">
        <v>385</v>
      </c>
      <c r="C197" s="21" t="s">
        <v>386</v>
      </c>
      <c r="D197" s="23" t="n">
        <f aca="false">IFERROR(VALUE(SUBSTITUTE(INDEX('Paste BPG'!$A:$Z,MATCH($B197,'Paste BPG'!$C:$C,0),MATCH("BP UP/TUP",'Paste BPG'!$3:$3,0)),".","")),0)</f>
        <v>0</v>
      </c>
      <c r="E197" s="23" t="n">
        <f aca="false">IFERROR(VALUE(SUBSTITUTE(INDEX('Paste BPG'!$A:$Z,MATCH($B197,'Paste BPG'!$C:$C,0),MATCH("BP LS BENDAHARA",'Paste BPG'!$3:$3,0)),".","")),0)</f>
        <v>0</v>
      </c>
      <c r="F197" s="23" t="n">
        <f aca="false">IFERROR(VALUE(SUBSTITUTE(INDEX('Paste BPG'!$A:$Z,MATCH($B197,'Paste BPG'!$C:$C,0),MATCH("BP PAJAK",'Paste BPG'!$3:$3,0)),".","")),0)</f>
        <v>0</v>
      </c>
      <c r="G197" s="23" t="n">
        <f aca="false">IFERROR(VALUE(SUBSTITUTE(INDEX('Paste BPG'!$A:$Z,MATCH($B197,'Paste BPG'!$C:$C,0),MATCH("BP HIBAH",'Paste BPG'!$3:$3,0)),".","")),0)</f>
        <v>0</v>
      </c>
      <c r="H197" s="23" t="n">
        <f aca="false">IFERROR(VALUE(SUBSTITUTE(INDEX('Paste BPG'!$A:$Z,MATCH($B197,'Paste BPG'!$C:$C,0),MATCH("BP LAIN-LAIN",'Paste BPG'!$3:$3,0)),".","")),0)</f>
        <v>0</v>
      </c>
      <c r="I197" s="24" t="n">
        <f aca="false">D197+E197+F197+G197+H197</f>
        <v>0</v>
      </c>
      <c r="J197" s="23" t="n">
        <f aca="false">D197</f>
        <v>0</v>
      </c>
      <c r="K197" s="23" t="n">
        <f aca="false">IFERROR(VALUE(SUBSTITUTE(INDEX('Paste BPG'!$A:$Z,MATCH($B197,'Paste BPG'!$C:$C,0),MATCH("KUITANSI",'Paste BPG'!$3:$3,0)),".","")),0)</f>
        <v>0</v>
      </c>
      <c r="L197" s="24" t="n">
        <f aca="false">J197+K197</f>
        <v>0</v>
      </c>
    </row>
    <row r="198" customFormat="false" ht="34.5" hidden="false" customHeight="true" outlineLevel="0" collapsed="false">
      <c r="A198" s="19" t="n">
        <v>174</v>
      </c>
      <c r="B198" s="20" t="s">
        <v>387</v>
      </c>
      <c r="C198" s="21" t="s">
        <v>388</v>
      </c>
      <c r="D198" s="23" t="n">
        <f aca="false">IFERROR(VALUE(SUBSTITUTE(INDEX('Paste BPG'!$A:$Z,MATCH($B198,'Paste BPG'!$C:$C,0),MATCH("BP UP/TUP",'Paste BPG'!$3:$3,0)),".","")),0)</f>
        <v>0</v>
      </c>
      <c r="E198" s="23" t="n">
        <f aca="false">IFERROR(VALUE(SUBSTITUTE(INDEX('Paste BPG'!$A:$Z,MATCH($B198,'Paste BPG'!$C:$C,0),MATCH("BP LS BENDAHARA",'Paste BPG'!$3:$3,0)),".","")),0)</f>
        <v>0</v>
      </c>
      <c r="F198" s="23" t="n">
        <f aca="false">IFERROR(VALUE(SUBSTITUTE(INDEX('Paste BPG'!$A:$Z,MATCH($B198,'Paste BPG'!$C:$C,0),MATCH("BP PAJAK",'Paste BPG'!$3:$3,0)),".","")),0)</f>
        <v>0</v>
      </c>
      <c r="G198" s="23" t="n">
        <f aca="false">IFERROR(VALUE(SUBSTITUTE(INDEX('Paste BPG'!$A:$Z,MATCH($B198,'Paste BPG'!$C:$C,0),MATCH("BP HIBAH",'Paste BPG'!$3:$3,0)),".","")),0)</f>
        <v>0</v>
      </c>
      <c r="H198" s="23" t="n">
        <f aca="false">IFERROR(VALUE(SUBSTITUTE(INDEX('Paste BPG'!$A:$Z,MATCH($B198,'Paste BPG'!$C:$C,0),MATCH("BP LAIN-LAIN",'Paste BPG'!$3:$3,0)),".","")),0)</f>
        <v>0</v>
      </c>
      <c r="I198" s="24" t="n">
        <f aca="false">D198+E198+F198+G198+H198</f>
        <v>0</v>
      </c>
      <c r="J198" s="23" t="n">
        <f aca="false">D198</f>
        <v>0</v>
      </c>
      <c r="K198" s="23" t="n">
        <f aca="false">IFERROR(VALUE(SUBSTITUTE(INDEX('Paste BPG'!$A:$Z,MATCH($B198,'Paste BPG'!$C:$C,0),MATCH("KUITANSI",'Paste BPG'!$3:$3,0)),".","")),0)</f>
        <v>0</v>
      </c>
      <c r="L198" s="24" t="n">
        <f aca="false">J198+K198</f>
        <v>0</v>
      </c>
    </row>
    <row r="199" customFormat="false" ht="34.5" hidden="false" customHeight="true" outlineLevel="0" collapsed="false">
      <c r="A199" s="19" t="n">
        <v>175</v>
      </c>
      <c r="B199" s="20" t="s">
        <v>389</v>
      </c>
      <c r="C199" s="21" t="s">
        <v>390</v>
      </c>
      <c r="D199" s="23" t="n">
        <f aca="false">IFERROR(VALUE(SUBSTITUTE(INDEX('Paste BPG'!$A:$Z,MATCH($B199,'Paste BPG'!$C:$C,0),MATCH("BP UP/TUP",'Paste BPG'!$3:$3,0)),".","")),0)</f>
        <v>0</v>
      </c>
      <c r="E199" s="23" t="n">
        <f aca="false">IFERROR(VALUE(SUBSTITUTE(INDEX('Paste BPG'!$A:$Z,MATCH($B199,'Paste BPG'!$C:$C,0),MATCH("BP LS BENDAHARA",'Paste BPG'!$3:$3,0)),".","")),0)</f>
        <v>0</v>
      </c>
      <c r="F199" s="23" t="n">
        <f aca="false">IFERROR(VALUE(SUBSTITUTE(INDEX('Paste BPG'!$A:$Z,MATCH($B199,'Paste BPG'!$C:$C,0),MATCH("BP PAJAK",'Paste BPG'!$3:$3,0)),".","")),0)</f>
        <v>0</v>
      </c>
      <c r="G199" s="23" t="n">
        <f aca="false">IFERROR(VALUE(SUBSTITUTE(INDEX('Paste BPG'!$A:$Z,MATCH($B199,'Paste BPG'!$C:$C,0),MATCH("BP HIBAH",'Paste BPG'!$3:$3,0)),".","")),0)</f>
        <v>0</v>
      </c>
      <c r="H199" s="23" t="n">
        <f aca="false">IFERROR(VALUE(SUBSTITUTE(INDEX('Paste BPG'!$A:$Z,MATCH($B199,'Paste BPG'!$C:$C,0),MATCH("BP LAIN-LAIN",'Paste BPG'!$3:$3,0)),".","")),0)</f>
        <v>0</v>
      </c>
      <c r="I199" s="24" t="n">
        <f aca="false">D199+E199+F199+G199+H199</f>
        <v>0</v>
      </c>
      <c r="J199" s="23" t="n">
        <f aca="false">D199</f>
        <v>0</v>
      </c>
      <c r="K199" s="23" t="n">
        <f aca="false">IFERROR(VALUE(SUBSTITUTE(INDEX('Paste BPG'!$A:$Z,MATCH($B199,'Paste BPG'!$C:$C,0),MATCH("KUITANSI",'Paste BPG'!$3:$3,0)),".","")),0)</f>
        <v>0</v>
      </c>
      <c r="L199" s="24" t="n">
        <f aca="false">J199+K199</f>
        <v>0</v>
      </c>
    </row>
    <row r="200" customFormat="false" ht="34.5" hidden="false" customHeight="true" outlineLevel="0" collapsed="false">
      <c r="A200" s="19" t="n">
        <v>176</v>
      </c>
      <c r="B200" s="20" t="s">
        <v>391</v>
      </c>
      <c r="C200" s="21" t="s">
        <v>392</v>
      </c>
      <c r="D200" s="23" t="n">
        <f aca="false">IFERROR(VALUE(SUBSTITUTE(INDEX('Paste BPG'!$A:$Z,MATCH($B200,'Paste BPG'!$C:$C,0),MATCH("BP UP/TUP",'Paste BPG'!$3:$3,0)),".","")),0)</f>
        <v>0</v>
      </c>
      <c r="E200" s="23" t="n">
        <f aca="false">IFERROR(VALUE(SUBSTITUTE(INDEX('Paste BPG'!$A:$Z,MATCH($B200,'Paste BPG'!$C:$C,0),MATCH("BP LS BENDAHARA",'Paste BPG'!$3:$3,0)),".","")),0)</f>
        <v>0</v>
      </c>
      <c r="F200" s="23" t="n">
        <f aca="false">IFERROR(VALUE(SUBSTITUTE(INDEX('Paste BPG'!$A:$Z,MATCH($B200,'Paste BPG'!$C:$C,0),MATCH("BP PAJAK",'Paste BPG'!$3:$3,0)),".","")),0)</f>
        <v>0</v>
      </c>
      <c r="G200" s="23" t="n">
        <f aca="false">IFERROR(VALUE(SUBSTITUTE(INDEX('Paste BPG'!$A:$Z,MATCH($B200,'Paste BPG'!$C:$C,0),MATCH("BP HIBAH",'Paste BPG'!$3:$3,0)),".","")),0)</f>
        <v>0</v>
      </c>
      <c r="H200" s="23" t="n">
        <f aca="false">IFERROR(VALUE(SUBSTITUTE(INDEX('Paste BPG'!$A:$Z,MATCH($B200,'Paste BPG'!$C:$C,0),MATCH("BP LAIN-LAIN",'Paste BPG'!$3:$3,0)),".","")),0)</f>
        <v>0</v>
      </c>
      <c r="I200" s="24" t="n">
        <f aca="false">D200+E200+F200+G200+H200</f>
        <v>0</v>
      </c>
      <c r="J200" s="23" t="n">
        <f aca="false">D200</f>
        <v>0</v>
      </c>
      <c r="K200" s="23" t="n">
        <f aca="false">IFERROR(VALUE(SUBSTITUTE(INDEX('Paste BPG'!$A:$Z,MATCH($B200,'Paste BPG'!$C:$C,0),MATCH("KUITANSI",'Paste BPG'!$3:$3,0)),".","")),0)</f>
        <v>0</v>
      </c>
      <c r="L200" s="24" t="n">
        <f aca="false">J200+K200</f>
        <v>0</v>
      </c>
    </row>
    <row r="201" customFormat="false" ht="21.75" hidden="false" customHeight="true" outlineLevel="0" collapsed="false">
      <c r="A201" s="43" t="s">
        <v>29</v>
      </c>
      <c r="B201" s="43"/>
      <c r="C201" s="43"/>
      <c r="D201" s="44" t="n">
        <f aca="false">D195+D192+D190+D188+D185+D183+D181+D179+D176+D170+D135+D133+D130+D91+D87+D33+D28+D7</f>
        <v>0</v>
      </c>
      <c r="E201" s="44" t="n">
        <f aca="false">E195+E192+E190+E188+E185+E183+E181+E179+E176+E170+E135+E133+E130+E91+E87+E33+E28+E7</f>
        <v>0</v>
      </c>
      <c r="F201" s="44" t="n">
        <f aca="false">F195+F192+F190+F188+F185+F183+F181+F179+F176+F170+F135+F133+F130+F91+F87+F33+F28+F7</f>
        <v>0</v>
      </c>
      <c r="G201" s="44" t="n">
        <f aca="false">G195+G192+G190+G188+G185+G183+G181+G179+G176+G170+G135+G133+G130+G91+G87+G33+G28+G7</f>
        <v>0</v>
      </c>
      <c r="H201" s="44" t="n">
        <f aca="false">H195+H192+H190+H188+H185+H183+H181+H179+H176+H170+H135+H133+H130+H91+H87+H33+H28+H7</f>
        <v>0</v>
      </c>
      <c r="I201" s="44" t="n">
        <f aca="false">I195+I192+I190+I188+I185+I183+I181+I179+I176+I170+I135+I133+I130+I91+I87+I33+I28+I7</f>
        <v>0</v>
      </c>
      <c r="J201" s="44" t="n">
        <f aca="false">J195+J192+J190+J188+J185+J183+J181+J179+J176+J170+J135+J133+J130+J91+J87+J33+J28+J7</f>
        <v>0</v>
      </c>
      <c r="K201" s="44" t="n">
        <f aca="false">K195+K192+K190+K188+K185+K183+K181+K179+K176+K170+K135+K133+K130+K91+K87+K33+K28+K7</f>
        <v>0</v>
      </c>
      <c r="L201" s="44" t="n">
        <f aca="false">L195+L192+L190+L188+L185+L183+L181+L179+L176+L170+L135+L133+L130+L91+L87+L33+L28+L7</f>
        <v>0</v>
      </c>
    </row>
    <row r="202" customFormat="false" ht="15.75" hidden="false" customHeight="false" outlineLevel="0" collapsed="false">
      <c r="E202" s="45"/>
      <c r="F202" s="45"/>
      <c r="G202" s="45"/>
      <c r="H202" s="45"/>
      <c r="I202" s="45"/>
      <c r="J202" s="45"/>
      <c r="K202" s="45"/>
      <c r="L202" s="45"/>
    </row>
    <row r="203" customFormat="false" ht="15.75" hidden="false" customHeight="false" outlineLevel="0" collapsed="false">
      <c r="D203" s="7" t="n">
        <f aca="false">D201-D202-D193</f>
        <v>0</v>
      </c>
      <c r="E203" s="7" t="n">
        <f aca="false">E201-E202-E193</f>
        <v>0</v>
      </c>
      <c r="F203" s="7" t="n">
        <f aca="false">F201-F202-F193</f>
        <v>0</v>
      </c>
      <c r="G203" s="7" t="n">
        <f aca="false">G201-G202-G193</f>
        <v>0</v>
      </c>
      <c r="H203" s="7" t="n">
        <f aca="false">H201-H202-H193</f>
        <v>0</v>
      </c>
      <c r="I203" s="7" t="n">
        <f aca="false">I201-I202-I193</f>
        <v>0</v>
      </c>
      <c r="J203" s="7" t="n">
        <f aca="false">J201-J202-J193</f>
        <v>0</v>
      </c>
      <c r="K203" s="7" t="n">
        <f aca="false">K201-K202-K193</f>
        <v>0</v>
      </c>
      <c r="L203" s="7" t="n">
        <f aca="false">L201-L202-L193</f>
        <v>0</v>
      </c>
    </row>
  </sheetData>
  <mergeCells count="19">
    <mergeCell ref="A1:B1"/>
    <mergeCell ref="C1:K1"/>
    <mergeCell ref="C2:K2"/>
    <mergeCell ref="A3:B3"/>
    <mergeCell ref="A4:A6"/>
    <mergeCell ref="B4:B6"/>
    <mergeCell ref="C4:C6"/>
    <mergeCell ref="D4:I4"/>
    <mergeCell ref="J4:L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201:C201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50" man="true" max="16383" min="0"/>
    <brk id="90" man="true" max="16383" min="0"/>
    <brk id="115" man="true" max="16383" min="0"/>
    <brk id="134" man="true" max="16383" min="0"/>
    <brk id="162" man="true" max="16383" min="0"/>
    <brk id="19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62109375" defaultRowHeight="15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46" width="10"/>
    <col collapsed="false" customWidth="true" hidden="false" outlineLevel="0" max="4" min="4" style="1" width="45"/>
    <col collapsed="false" customWidth="true" hidden="false" outlineLevel="0" max="5" min="5" style="7" width="12"/>
    <col collapsed="false" customWidth="true" hidden="false" outlineLevel="0" max="6" min="6" style="7" width="14"/>
    <col collapsed="false" customWidth="true" hidden="false" outlineLevel="0" max="7" min="7" style="7" width="16"/>
    <col collapsed="false" customWidth="true" hidden="false" outlineLevel="0" max="8" min="8" style="7" width="10"/>
    <col collapsed="false" customWidth="true" hidden="false" outlineLevel="0" max="9" min="9" style="7" width="12"/>
    <col collapsed="false" customWidth="true" hidden="false" outlineLevel="0" max="12" min="10" style="7" width="15"/>
    <col collapsed="false" customWidth="true" hidden="false" outlineLevel="0" max="13" min="13" style="1" width="14"/>
    <col collapsed="false" customWidth="true" hidden="false" outlineLevel="0" max="18" min="14" style="1" width="15"/>
  </cols>
  <sheetData>
    <row r="1" customFormat="false" ht="15.75" hidden="false" customHeight="false" outlineLevel="0" collapsed="false">
      <c r="A1" s="47" t="s">
        <v>393</v>
      </c>
      <c r="B1" s="48"/>
      <c r="C1" s="49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50"/>
      <c r="T1" s="50"/>
    </row>
    <row r="2" customFormat="false" ht="15.75" hidden="false" customHeight="false" outlineLevel="0" collapsed="false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customFormat="false" ht="23.85" hidden="false" customHeight="false" outlineLevel="0" collapsed="false">
      <c r="A3" s="51" t="s">
        <v>19</v>
      </c>
      <c r="B3" s="51" t="s">
        <v>394</v>
      </c>
      <c r="C3" s="51" t="s">
        <v>395</v>
      </c>
      <c r="D3" s="51" t="s">
        <v>21</v>
      </c>
      <c r="E3" s="51" t="s">
        <v>396</v>
      </c>
      <c r="F3" s="51" t="s">
        <v>397</v>
      </c>
      <c r="G3" s="51" t="s">
        <v>398</v>
      </c>
      <c r="H3" s="51" t="s">
        <v>399</v>
      </c>
      <c r="I3" s="51" t="s">
        <v>400</v>
      </c>
      <c r="J3" s="51" t="s">
        <v>401</v>
      </c>
      <c r="K3" s="51" t="s">
        <v>25</v>
      </c>
      <c r="L3" s="51" t="s">
        <v>26</v>
      </c>
      <c r="M3" s="51" t="s">
        <v>27</v>
      </c>
      <c r="N3" s="51" t="s">
        <v>28</v>
      </c>
      <c r="O3" s="51" t="s">
        <v>29</v>
      </c>
      <c r="P3" s="51" t="s">
        <v>402</v>
      </c>
      <c r="Q3" s="51" t="s">
        <v>403</v>
      </c>
      <c r="R3" s="51" t="s">
        <v>29</v>
      </c>
      <c r="S3" s="50"/>
      <c r="T3" s="50"/>
    </row>
    <row r="4" customFormat="false" ht="15.75" hidden="false" customHeight="fals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customFormat="false" ht="15.75" hidden="false" customHeight="false" outlineLevel="0" collapsed="false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customFormat="false" ht="15.75" hidden="false" customHeight="false" outlineLevel="0" collapsed="false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customFormat="false" ht="15.75" hidden="false" customHeight="false" outlineLevel="0" collapsed="false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customFormat="false" ht="15.75" hidden="false" customHeight="false" outlineLevel="0" collapsed="false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customFormat="false" ht="15.75" hidden="false" customHeight="false" outlineLevel="0" collapsed="false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</row>
    <row r="10" customFormat="false" ht="15.75" hidden="false" customHeight="false" outlineLevel="0" collapsed="false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customFormat="false" ht="15.75" hidden="false" customHeight="false" outlineLevel="0" collapsed="false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customFormat="false" ht="15.75" hidden="false" customHeight="fals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 customFormat="false" ht="15.75" hidden="false" customHeight="false" outlineLevel="0" collapsed="false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 customFormat="false" ht="15.75" hidden="false" customHeight="fals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 customFormat="false" ht="15.75" hidden="false" customHeight="fals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 customFormat="false" ht="15.75" hidden="false" customHeight="fals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</row>
    <row r="17" customFormat="false" ht="15.75" hidden="false" customHeight="false" outlineLevel="0" collapsed="false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</row>
    <row r="18" customFormat="false" ht="15.75" hidden="false" customHeight="fals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customFormat="false" ht="15.75" hidden="false" customHeight="fals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</row>
    <row r="20" customFormat="false" ht="15.75" hidden="false" customHeight="fals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</row>
    <row r="21" customFormat="false" ht="15.75" hidden="false" customHeight="fals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</row>
    <row r="22" customFormat="false" ht="15.75" hidden="false" customHeight="fals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customFormat="false" ht="15.75" hidden="false" customHeight="fals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customFormat="false" ht="15.75" hidden="false" customHeight="fals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customFormat="false" ht="15.75" hidden="false" customHeight="fals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customFormat="false" ht="15.75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customFormat="false" ht="15.75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customFormat="false" ht="15.75" hidden="false" customHeight="fals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customFormat="false" ht="15.75" hidden="false" customHeight="fals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customFormat="false" ht="15.75" hidden="false" customHeight="fals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customFormat="false" ht="15.75" hidden="false" customHeight="fals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 customFormat="false" ht="15.75" hidden="false" customHeight="fals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 customFormat="false" ht="15.75" hidden="false" customHeight="fals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customFormat="false" ht="15.75" hidden="false" customHeight="fals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customFormat="false" ht="15.7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customFormat="false" ht="15.75" hidden="false" customHeight="fals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customFormat="false" ht="15.75" hidden="false" customHeight="fals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 customFormat="false" ht="15.75" hidden="false" customHeight="fals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customFormat="false" ht="15.75" hidden="false" customHeight="fals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customFormat="false" ht="15.75" hidden="false" customHeight="fals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customFormat="false" ht="15.75" hidden="false" customHeight="fals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 customFormat="false" ht="15.75" hidden="false" customHeight="fals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 customFormat="false" ht="15.75" hidden="false" customHeight="fals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 customFormat="false" ht="15.75" hidden="false" customHeight="fals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 customFormat="false" ht="15.75" hidden="false" customHeight="fals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 customFormat="false" ht="15.75" hidden="false" customHeight="fals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customFormat="false" ht="15.7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customFormat="false" ht="15.7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customFormat="false" ht="15.75" hidden="false" customHeight="fals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 customFormat="false" ht="15.75" hidden="false" customHeight="fals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customFormat="false" ht="15.75" hidden="false" customHeight="fals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customFormat="false" ht="15.75" hidden="false" customHeight="fals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customFormat="false" ht="15.75" hidden="false" customHeight="fals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 customFormat="false" ht="15.7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customFormat="false" ht="15.7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 customFormat="false" ht="15.7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 customFormat="false" ht="15.7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customFormat="false" ht="15.7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 customFormat="false" ht="15.7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 customFormat="false" ht="15.7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 customFormat="false" ht="15.75" hidden="false" customHeight="fals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 customFormat="false" ht="15.75" hidden="false" customHeight="fals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customFormat="false" ht="15.75" hidden="false" customHeight="fals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 customFormat="false" ht="15.75" hidden="false" customHeight="fals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 customFormat="false" ht="15.75" hidden="false" customHeight="fals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 customFormat="false" ht="15.75" hidden="false" customHeight="fals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 customFormat="false" ht="15.75" hidden="false" customHeight="fals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 customFormat="false" ht="15.75" hidden="false" customHeight="fals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 customFormat="false" ht="15.75" hidden="false" customHeight="fals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 customFormat="false" ht="15.75" hidden="false" customHeight="fals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 customFormat="false" ht="15.75" hidden="false" customHeight="fals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 customFormat="false" ht="15.75" hidden="false" customHeight="fals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customFormat="false" ht="15.75" hidden="false" customHeight="fals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 customFormat="false" ht="15.75" hidden="false" customHeight="fals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 customFormat="false" ht="15.75" hidden="false" customHeight="fals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 customFormat="false" ht="15.75" hidden="false" customHeight="fals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</row>
    <row r="77" customFormat="false" ht="15.75" hidden="false" customHeight="fals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</row>
    <row r="78" customFormat="false" ht="15.75" hidden="false" customHeight="fals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</row>
    <row r="79" customFormat="false" ht="15.75" hidden="false" customHeight="fals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</row>
    <row r="80" customFormat="false" ht="15.75" hidden="false" customHeight="fals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</row>
    <row r="81" customFormat="false" ht="15.75" hidden="false" customHeight="fals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</row>
    <row r="82" customFormat="false" ht="15.75" hidden="false" customHeight="fals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</row>
    <row r="83" customFormat="false" ht="15.75" hidden="false" customHeight="fals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</row>
    <row r="84" customFormat="false" ht="15.75" hidden="false" customHeight="fals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</row>
    <row r="85" customFormat="false" ht="15.75" hidden="false" customHeight="fals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</row>
    <row r="86" customFormat="false" ht="15.75" hidden="false" customHeight="fals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</row>
    <row r="87" customFormat="false" ht="15.75" hidden="false" customHeight="fals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</row>
    <row r="88" customFormat="false" ht="15.75" hidden="false" customHeight="fals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</row>
    <row r="89" customFormat="false" ht="15.75" hidden="false" customHeight="fals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</row>
    <row r="90" customFormat="false" ht="15.75" hidden="false" customHeight="fals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</row>
    <row r="91" customFormat="false" ht="15.75" hidden="false" customHeight="fals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</row>
    <row r="92" customFormat="false" ht="15.75" hidden="false" customHeight="fals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</row>
    <row r="93" customFormat="false" ht="15.75" hidden="false" customHeight="fals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</row>
    <row r="94" customFormat="false" ht="15.75" hidden="false" customHeight="fals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</row>
    <row r="95" customFormat="false" ht="15.75" hidden="false" customHeight="fals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</row>
    <row r="96" customFormat="false" ht="15.75" hidden="false" customHeight="fals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</row>
    <row r="97" customFormat="false" ht="15.75" hidden="false" customHeight="fals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</row>
    <row r="98" customFormat="false" ht="15.75" hidden="false" customHeight="fals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</row>
    <row r="99" customFormat="false" ht="15.75" hidden="false" customHeight="fals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</row>
    <row r="100" customFormat="false" ht="15.75" hidden="false" customHeight="fals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</row>
    <row r="101" customFormat="false" ht="15.75" hidden="false" customHeight="fals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</row>
    <row r="102" customFormat="false" ht="15.75" hidden="false" customHeight="false" outlineLevel="0" collapsed="false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</row>
    <row r="103" customFormat="false" ht="15.75" hidden="false" customHeight="false" outlineLevel="0" collapsed="false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</row>
    <row r="104" customFormat="false" ht="15.75" hidden="false" customHeight="false" outlineLevel="0" collapsed="false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</row>
    <row r="105" customFormat="false" ht="15.75" hidden="false" customHeight="false" outlineLevel="0" collapsed="false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</row>
    <row r="106" customFormat="false" ht="15.75" hidden="false" customHeight="false" outlineLevel="0" collapsed="false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</row>
    <row r="107" customFormat="false" ht="15.75" hidden="false" customHeight="false" outlineLevel="0" collapsed="false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</row>
    <row r="108" customFormat="false" ht="15.75" hidden="false" customHeight="false" outlineLevel="0" collapsed="false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</row>
    <row r="109" customFormat="false" ht="15.75" hidden="false" customHeight="false" outlineLevel="0" collapsed="false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</row>
    <row r="110" customFormat="false" ht="15.75" hidden="false" customHeight="false" outlineLevel="0" collapsed="false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</row>
    <row r="111" customFormat="false" ht="15.75" hidden="false" customHeight="false" outlineLevel="0" collapsed="false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</row>
    <row r="112" customFormat="false" ht="15.75" hidden="false" customHeight="false" outlineLevel="0" collapsed="false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</row>
    <row r="113" customFormat="false" ht="15.75" hidden="false" customHeight="false" outlineLevel="0" collapsed="false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</row>
    <row r="114" customFormat="false" ht="15.75" hidden="false" customHeight="false" outlineLevel="0" collapsed="false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</row>
    <row r="115" customFormat="false" ht="15.75" hidden="false" customHeight="false" outlineLevel="0" collapsed="false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</row>
    <row r="116" customFormat="false" ht="15.75" hidden="false" customHeight="false" outlineLevel="0" collapsed="false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</row>
    <row r="117" customFormat="false" ht="15.75" hidden="false" customHeight="false" outlineLevel="0" collapsed="false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</row>
    <row r="118" customFormat="false" ht="15.75" hidden="false" customHeight="false" outlineLevel="0" collapsed="false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</row>
    <row r="119" customFormat="false" ht="15.75" hidden="false" customHeight="false" outlineLevel="0" collapsed="false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</row>
    <row r="120" customFormat="false" ht="15.75" hidden="false" customHeight="false" outlineLevel="0" collapsed="false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</row>
    <row r="121" customFormat="false" ht="15.75" hidden="false" customHeight="false" outlineLevel="0" collapsed="false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</row>
    <row r="122" customFormat="false" ht="15.75" hidden="false" customHeight="false" outlineLevel="0" collapsed="false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</row>
    <row r="123" customFormat="false" ht="15.75" hidden="false" customHeight="false" outlineLevel="0" collapsed="false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</row>
    <row r="124" customFormat="false" ht="15.75" hidden="false" customHeight="false" outlineLevel="0" collapsed="false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</row>
    <row r="125" customFormat="false" ht="15.75" hidden="false" customHeight="false" outlineLevel="0" collapsed="false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</row>
    <row r="126" customFormat="false" ht="15.75" hidden="false" customHeight="false" outlineLevel="0" collapsed="false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</row>
    <row r="127" customFormat="false" ht="15.75" hidden="false" customHeight="false" outlineLevel="0" collapsed="false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</row>
    <row r="128" customFormat="false" ht="15.75" hidden="false" customHeight="false" outlineLevel="0" collapsed="false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</row>
    <row r="129" customFormat="false" ht="15.75" hidden="false" customHeight="false" outlineLevel="0" collapsed="false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</row>
    <row r="130" customFormat="false" ht="15.75" hidden="false" customHeight="false" outlineLevel="0" collapsed="false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</row>
    <row r="131" customFormat="false" ht="15.75" hidden="false" customHeight="false" outlineLevel="0" collapsed="false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</row>
    <row r="132" customFormat="false" ht="15.75" hidden="false" customHeight="false" outlineLevel="0" collapsed="false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</row>
    <row r="133" customFormat="false" ht="15.75" hidden="false" customHeight="false" outlineLevel="0" collapsed="false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</row>
    <row r="134" customFormat="false" ht="15.75" hidden="false" customHeight="false" outlineLevel="0" collapsed="false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</row>
    <row r="135" customFormat="false" ht="15.75" hidden="false" customHeight="false" outlineLevel="0" collapsed="false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</row>
    <row r="136" customFormat="false" ht="15.75" hidden="false" customHeight="false" outlineLevel="0" collapsed="false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</row>
    <row r="137" customFormat="false" ht="15.75" hidden="false" customHeight="false" outlineLevel="0" collapsed="false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</row>
    <row r="138" customFormat="false" ht="15.75" hidden="false" customHeight="false" outlineLevel="0" collapsed="false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</row>
    <row r="139" customFormat="false" ht="15.75" hidden="false" customHeight="false" outlineLevel="0" collapsed="false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</row>
    <row r="140" customFormat="false" ht="15.75" hidden="false" customHeight="false" outlineLevel="0" collapsed="false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</row>
    <row r="141" customFormat="false" ht="15.75" hidden="false" customHeight="false" outlineLevel="0" collapsed="false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</row>
    <row r="142" customFormat="false" ht="15.75" hidden="false" customHeight="false" outlineLevel="0" collapsed="false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</row>
    <row r="143" customFormat="false" ht="15.75" hidden="false" customHeight="false" outlineLevel="0" collapsed="false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</row>
    <row r="144" customFormat="false" ht="15.75" hidden="false" customHeight="false" outlineLevel="0" collapsed="false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</row>
    <row r="145" customFormat="false" ht="15.75" hidden="false" customHeight="false" outlineLevel="0" collapsed="false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</row>
    <row r="146" customFormat="false" ht="15.75" hidden="false" customHeight="false" outlineLevel="0" collapsed="false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</row>
    <row r="147" customFormat="false" ht="15.75" hidden="false" customHeight="false" outlineLevel="0" collapsed="false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</row>
    <row r="148" customFormat="false" ht="15.75" hidden="false" customHeight="false" outlineLevel="0" collapsed="false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</row>
    <row r="149" customFormat="false" ht="15.75" hidden="false" customHeight="false" outlineLevel="0" collapsed="false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</row>
    <row r="150" customFormat="false" ht="15.75" hidden="false" customHeight="false" outlineLevel="0" collapsed="false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</row>
    <row r="151" customFormat="false" ht="15.75" hidden="false" customHeight="false" outlineLevel="0" collapsed="false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</row>
    <row r="152" customFormat="false" ht="15.75" hidden="false" customHeight="false" outlineLevel="0" collapsed="false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</row>
    <row r="153" customFormat="false" ht="15.75" hidden="false" customHeight="false" outlineLevel="0" collapsed="false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</row>
    <row r="154" customFormat="false" ht="15.75" hidden="false" customHeight="false" outlineLevel="0" collapsed="false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</row>
    <row r="155" customFormat="false" ht="15.75" hidden="false" customHeight="false" outlineLevel="0" collapsed="false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</row>
    <row r="156" customFormat="false" ht="15.75" hidden="false" customHeight="false" outlineLevel="0" collapsed="false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</row>
    <row r="157" customFormat="false" ht="15.75" hidden="false" customHeight="false" outlineLevel="0" collapsed="false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</row>
    <row r="158" customFormat="false" ht="15.75" hidden="false" customHeight="false" outlineLevel="0" collapsed="false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</row>
    <row r="159" customFormat="false" ht="15.75" hidden="false" customHeight="false" outlineLevel="0" collapsed="false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</row>
    <row r="160" customFormat="false" ht="15.75" hidden="false" customHeight="false" outlineLevel="0" collapsed="false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</row>
    <row r="161" customFormat="false" ht="15.75" hidden="false" customHeight="false" outlineLevel="0" collapsed="false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</row>
    <row r="162" customFormat="false" ht="15.75" hidden="false" customHeight="false" outlineLevel="0" collapsed="false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</row>
    <row r="163" customFormat="false" ht="15.75" hidden="false" customHeight="false" outlineLevel="0" collapsed="false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</row>
    <row r="164" customFormat="false" ht="15.75" hidden="false" customHeight="false" outlineLevel="0" collapsed="false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</row>
    <row r="165" customFormat="false" ht="15.75" hidden="false" customHeight="false" outlineLevel="0" collapsed="false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</row>
    <row r="166" customFormat="false" ht="15.75" hidden="false" customHeight="false" outlineLevel="0" collapsed="false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</row>
    <row r="167" customFormat="false" ht="15.75" hidden="false" customHeight="false" outlineLevel="0" collapsed="false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</row>
    <row r="168" customFormat="false" ht="15.75" hidden="false" customHeight="false" outlineLevel="0" collapsed="false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</row>
    <row r="169" customFormat="false" ht="15.75" hidden="false" customHeight="false" outlineLevel="0" collapsed="false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</row>
    <row r="170" customFormat="false" ht="15.75" hidden="false" customHeight="false" outlineLevel="0" collapsed="false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</row>
    <row r="171" customFormat="false" ht="15.75" hidden="false" customHeight="false" outlineLevel="0" collapsed="false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</row>
    <row r="172" customFormat="false" ht="15.75" hidden="false" customHeight="false" outlineLevel="0" collapsed="false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</row>
    <row r="173" customFormat="false" ht="15.75" hidden="false" customHeight="false" outlineLevel="0" collapsed="false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</row>
    <row r="174" customFormat="false" ht="15.75" hidden="false" customHeight="false" outlineLevel="0" collapsed="false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</row>
    <row r="175" customFormat="false" ht="15.75" hidden="false" customHeight="false" outlineLevel="0" collapsed="false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</row>
    <row r="176" customFormat="false" ht="15.75" hidden="false" customHeight="false" outlineLevel="0" collapsed="false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</row>
    <row r="177" customFormat="false" ht="15.75" hidden="false" customHeight="false" outlineLevel="0" collapsed="false">
      <c r="A177" s="50"/>
      <c r="B177" s="50"/>
      <c r="C177" s="50"/>
      <c r="D177" s="50"/>
      <c r="E177" s="52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</row>
    <row r="178" customFormat="false" ht="15.75" hidden="false" customHeight="false" outlineLevel="0" collapsed="false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</row>
    <row r="179" customFormat="false" ht="15.75" hidden="false" customHeight="false" outlineLevel="0" collapsed="false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</row>
    <row r="180" customFormat="false" ht="15.75" hidden="false" customHeight="false" outlineLevel="0" collapsed="false">
      <c r="A180" s="53"/>
      <c r="B180" s="53"/>
      <c r="C180" s="53"/>
      <c r="D180" s="53"/>
      <c r="E180" s="54"/>
      <c r="F180" s="54"/>
      <c r="G180" s="54"/>
      <c r="H180" s="54"/>
      <c r="I180" s="54"/>
      <c r="J180" s="54"/>
      <c r="K180" s="54"/>
      <c r="L180" s="54"/>
      <c r="M180" s="54"/>
      <c r="N180" s="53"/>
      <c r="O180" s="53"/>
      <c r="P180" s="53"/>
      <c r="Q180" s="53"/>
      <c r="R180" s="53"/>
      <c r="S180" s="50"/>
      <c r="T180" s="50"/>
    </row>
    <row r="181" customFormat="false" ht="15.75" hidden="false" customHeight="false" outlineLevel="0" collapsed="false">
      <c r="A181" s="50"/>
      <c r="B181" s="50"/>
      <c r="C181" s="50"/>
      <c r="D181" s="50"/>
      <c r="E181" s="50"/>
      <c r="F181" s="50"/>
      <c r="G181" s="50"/>
      <c r="H181" s="50"/>
      <c r="I181" s="52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</row>
    <row r="182" customFormat="false" ht="15.75" hidden="false" customHeight="false" outlineLevel="0" collapsed="false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</row>
    <row r="183" customFormat="false" ht="15.75" hidden="false" customHeight="false" outlineLevel="0" collapsed="false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</row>
    <row r="184" customFormat="false" ht="15.75" hidden="false" customHeight="false" outlineLevel="0" collapsed="false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</row>
    <row r="185" customFormat="false" ht="15.75" hidden="false" customHeight="false" outlineLevel="0" collapsed="false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</row>
    <row r="186" customFormat="false" ht="15.75" hidden="false" customHeight="false" outlineLevel="0" collapsed="false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</row>
    <row r="187" customFormat="false" ht="15.75" hidden="false" customHeight="false" outlineLevel="0" collapsed="false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</row>
    <row r="188" customFormat="false" ht="15.75" hidden="false" customHeight="false" outlineLevel="0" collapsed="false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</row>
    <row r="189" customFormat="false" ht="15.75" hidden="false" customHeight="false" outlineLevel="0" collapsed="false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</row>
    <row r="190" customFormat="false" ht="15.75" hidden="false" customHeight="false" outlineLevel="0" collapsed="false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</row>
    <row r="191" customFormat="false" ht="15.75" hidden="false" customHeight="false" outlineLevel="0" collapsed="false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</row>
    <row r="192" customFormat="false" ht="15.75" hidden="false" customHeight="false" outlineLevel="0" collapsed="false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</row>
    <row r="193" customFormat="false" ht="15.75" hidden="false" customHeight="false" outlineLevel="0" collapsed="false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</row>
    <row r="194" customFormat="false" ht="15.75" hidden="false" customHeight="false" outlineLevel="0" collapsed="false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</row>
    <row r="195" customFormat="false" ht="15.75" hidden="false" customHeight="false" outlineLevel="0" collapsed="false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</row>
    <row r="196" customFormat="false" ht="15.75" hidden="false" customHeight="false" outlineLevel="0" collapsed="false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</row>
    <row r="197" customFormat="false" ht="15.75" hidden="false" customHeight="false" outlineLevel="0" collapsed="false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</row>
    <row r="198" customFormat="false" ht="15.75" hidden="false" customHeight="false" outlineLevel="0" collapsed="false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</row>
    <row r="199" customFormat="false" ht="15.75" hidden="false" customHeight="false" outlineLevel="0" collapsed="false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</row>
    <row r="200" customFormat="false" ht="15.75" hidden="false" customHeight="false" outlineLevel="0" collapsed="false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</row>
    <row r="201" customFormat="false" ht="15.75" hidden="false" customHeight="false" outlineLevel="0" collapsed="false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</row>
    <row r="202" customFormat="false" ht="15.75" hidden="false" customHeight="false" outlineLevel="0" collapsed="false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</row>
    <row r="203" customFormat="false" ht="15.75" hidden="false" customHeight="false" outlineLevel="0" collapsed="false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</row>
    <row r="204" customFormat="false" ht="15.75" hidden="false" customHeight="false" outlineLevel="0" collapsed="false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</row>
    <row r="205" customFormat="false" ht="15.75" hidden="false" customHeight="false" outlineLevel="0" collapsed="false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</row>
    <row r="206" customFormat="false" ht="15.75" hidden="false" customHeight="false" outlineLevel="0" collapsed="false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</row>
    <row r="207" customFormat="false" ht="15.75" hidden="false" customHeight="false" outlineLevel="0" collapsed="false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</row>
    <row r="208" customFormat="false" ht="15.75" hidden="false" customHeight="false" outlineLevel="0" collapsed="false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</row>
    <row r="209" customFormat="false" ht="15.75" hidden="false" customHeight="false" outlineLevel="0" collapsed="false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</row>
    <row r="210" customFormat="false" ht="15.75" hidden="false" customHeight="false" outlineLevel="0" collapsed="false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</row>
    <row r="211" customFormat="false" ht="15.75" hidden="false" customHeight="fals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</row>
    <row r="212" customFormat="false" ht="15.75" hidden="false" customHeight="false" outlineLevel="0" collapsed="false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</row>
    <row r="213" customFormat="false" ht="15.75" hidden="false" customHeight="fals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</row>
    <row r="214" customFormat="false" ht="15.75" hidden="false" customHeight="false" outlineLevel="0" collapsed="false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</row>
    <row r="215" customFormat="false" ht="15.75" hidden="false" customHeight="false" outlineLevel="0" collapsed="false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</row>
    <row r="216" customFormat="false" ht="15.75" hidden="false" customHeight="false" outlineLevel="0" collapsed="false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</row>
    <row r="217" customFormat="false" ht="15.75" hidden="false" customHeight="false" outlineLevel="0" collapsed="false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</row>
    <row r="218" customFormat="false" ht="15.75" hidden="false" customHeight="false" outlineLevel="0" collapsed="false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</row>
    <row r="219" customFormat="false" ht="15.75" hidden="false" customHeight="false" outlineLevel="0" collapsed="false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</row>
    <row r="220" customFormat="false" ht="15.75" hidden="false" customHeight="false" outlineLevel="0" collapsed="false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</row>
    <row r="221" customFormat="false" ht="15.75" hidden="false" customHeight="false" outlineLevel="0" collapsed="false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</row>
    <row r="222" customFormat="false" ht="15.75" hidden="false" customHeight="false" outlineLevel="0" collapsed="false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</row>
    <row r="223" customFormat="false" ht="15.75" hidden="false" customHeight="false" outlineLevel="0" collapsed="false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</row>
    <row r="224" customFormat="false" ht="15.75" hidden="false" customHeight="false" outlineLevel="0" collapsed="false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</row>
    <row r="225" customFormat="false" ht="15.75" hidden="false" customHeight="false" outlineLevel="0" collapsed="false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</row>
    <row r="226" customFormat="false" ht="15.75" hidden="false" customHeight="false" outlineLevel="0" collapsed="false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</row>
    <row r="227" customFormat="false" ht="15.75" hidden="false" customHeight="false" outlineLevel="0" collapsed="false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</row>
    <row r="228" customFormat="false" ht="15.75" hidden="false" customHeight="false" outlineLevel="0" collapsed="false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</row>
    <row r="229" customFormat="false" ht="15.75" hidden="false" customHeight="false" outlineLevel="0" collapsed="false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</row>
    <row r="230" customFormat="false" ht="15.75" hidden="false" customHeight="false" outlineLevel="0" collapsed="false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</row>
    <row r="231" customFormat="false" ht="15.75" hidden="false" customHeight="false" outlineLevel="0" collapsed="false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</row>
    <row r="232" customFormat="false" ht="15.75" hidden="false" customHeight="false" outlineLevel="0" collapsed="false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</row>
    <row r="233" customFormat="false" ht="15.75" hidden="false" customHeight="false" outlineLevel="0" collapsed="false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</row>
    <row r="234" customFormat="false" ht="15.75" hidden="false" customHeight="false" outlineLevel="0" collapsed="false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</row>
    <row r="235" customFormat="false" ht="15.75" hidden="false" customHeight="false" outlineLevel="0" collapsed="false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</row>
    <row r="236" customFormat="false" ht="15.75" hidden="false" customHeight="false" outlineLevel="0" collapsed="false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</row>
    <row r="237" customFormat="false" ht="15.75" hidden="false" customHeight="false" outlineLevel="0" collapsed="false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</row>
    <row r="238" customFormat="false" ht="15.75" hidden="false" customHeight="false" outlineLevel="0" collapsed="false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</row>
    <row r="239" customFormat="false" ht="15.75" hidden="false" customHeight="false" outlineLevel="0" collapsed="false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</row>
    <row r="240" customFormat="false" ht="15.75" hidden="false" customHeight="false" outlineLevel="0" collapsed="false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</row>
    <row r="241" customFormat="false" ht="15.75" hidden="false" customHeight="false" outlineLevel="0" collapsed="false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</row>
    <row r="242" customFormat="false" ht="15.75" hidden="false" customHeight="false" outlineLevel="0" collapsed="false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</row>
    <row r="243" customFormat="false" ht="15.75" hidden="false" customHeight="false" outlineLevel="0" collapsed="false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</row>
    <row r="244" customFormat="false" ht="15.75" hidden="false" customHeight="false" outlineLevel="0" collapsed="false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</row>
    <row r="245" customFormat="false" ht="15.75" hidden="false" customHeight="false" outlineLevel="0" collapsed="false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</row>
    <row r="246" customFormat="false" ht="15.75" hidden="false" customHeight="false" outlineLevel="0" collapsed="false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</row>
    <row r="247" customFormat="false" ht="15.75" hidden="false" customHeight="false" outlineLevel="0" collapsed="false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</row>
    <row r="248" customFormat="false" ht="15.75" hidden="false" customHeight="false" outlineLevel="0" collapsed="false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</row>
    <row r="249" customFormat="false" ht="15.75" hidden="false" customHeight="false" outlineLevel="0" collapsed="false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</row>
    <row r="250" customFormat="false" ht="15.75" hidden="false" customHeight="false" outlineLevel="0" collapsed="false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</row>
    <row r="251" customFormat="false" ht="15.75" hidden="false" customHeight="false" outlineLevel="0" collapsed="false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</row>
    <row r="252" customFormat="false" ht="15.75" hidden="false" customHeight="false" outlineLevel="0" collapsed="false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</row>
    <row r="253" customFormat="false" ht="15.75" hidden="false" customHeight="false" outlineLevel="0" collapsed="false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</row>
    <row r="254" customFormat="false" ht="15.75" hidden="false" customHeight="false" outlineLevel="0" collapsed="false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</row>
    <row r="255" customFormat="false" ht="15.75" hidden="false" customHeight="false" outlineLevel="0" collapsed="false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</row>
    <row r="256" customFormat="false" ht="15.75" hidden="false" customHeight="false" outlineLevel="0" collapsed="false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</row>
    <row r="257" customFormat="false" ht="15.75" hidden="false" customHeight="false" outlineLevel="0" collapsed="false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</row>
    <row r="258" customFormat="false" ht="15.75" hidden="false" customHeight="false" outlineLevel="0" collapsed="false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</row>
    <row r="259" customFormat="false" ht="15.75" hidden="false" customHeight="false" outlineLevel="0" collapsed="false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</row>
    <row r="260" customFormat="false" ht="15.75" hidden="false" customHeight="false" outlineLevel="0" collapsed="false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</row>
    <row r="261" customFormat="false" ht="15.75" hidden="false" customHeight="false" outlineLevel="0" collapsed="false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</row>
    <row r="262" customFormat="false" ht="15.75" hidden="false" customHeight="false" outlineLevel="0" collapsed="false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</row>
    <row r="263" customFormat="false" ht="15.75" hidden="false" customHeight="false" outlineLevel="0" collapsed="false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</row>
    <row r="264" customFormat="false" ht="15.75" hidden="false" customHeight="false" outlineLevel="0" collapsed="false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</row>
    <row r="265" customFormat="false" ht="15.75" hidden="false" customHeight="false" outlineLevel="0" collapsed="false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</row>
    <row r="266" customFormat="false" ht="15.75" hidden="false" customHeight="false" outlineLevel="0" collapsed="false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</row>
    <row r="267" customFormat="false" ht="15.75" hidden="false" customHeight="false" outlineLevel="0" collapsed="false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</row>
    <row r="268" customFormat="false" ht="15.75" hidden="false" customHeight="false" outlineLevel="0" collapsed="false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</row>
    <row r="269" customFormat="false" ht="15.75" hidden="false" customHeight="false" outlineLevel="0" collapsed="false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</row>
    <row r="270" customFormat="false" ht="15.75" hidden="false" customHeight="false" outlineLevel="0" collapsed="false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</row>
    <row r="271" customFormat="false" ht="15.75" hidden="false" customHeight="false" outlineLevel="0" collapsed="false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</row>
    <row r="272" customFormat="false" ht="15.75" hidden="false" customHeight="false" outlineLevel="0" collapsed="false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</row>
    <row r="273" customFormat="false" ht="15.75" hidden="false" customHeight="false" outlineLevel="0" collapsed="false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</row>
    <row r="274" customFormat="false" ht="15.75" hidden="false" customHeight="false" outlineLevel="0" collapsed="false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</row>
    <row r="275" customFormat="false" ht="15.75" hidden="false" customHeight="false" outlineLevel="0" collapsed="false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</row>
    <row r="276" customFormat="false" ht="15.75" hidden="false" customHeight="false" outlineLevel="0" collapsed="false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</row>
    <row r="277" customFormat="false" ht="15.75" hidden="false" customHeight="false" outlineLevel="0" collapsed="false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</row>
    <row r="278" customFormat="false" ht="15.75" hidden="false" customHeight="false" outlineLevel="0" collapsed="false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</row>
    <row r="279" customFormat="false" ht="15.75" hidden="false" customHeight="false" outlineLevel="0" collapsed="false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</row>
    <row r="280" customFormat="false" ht="15.75" hidden="false" customHeight="false" outlineLevel="0" collapsed="false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</row>
    <row r="281" customFormat="false" ht="15.75" hidden="false" customHeight="false" outlineLevel="0" collapsed="false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</row>
    <row r="282" customFormat="false" ht="15.75" hidden="false" customHeight="false" outlineLevel="0" collapsed="false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</row>
    <row r="283" customFormat="false" ht="15.75" hidden="false" customHeight="false" outlineLevel="0" collapsed="false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</row>
    <row r="284" customFormat="false" ht="15.75" hidden="false" customHeight="false" outlineLevel="0" collapsed="false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</row>
    <row r="285" customFormat="false" ht="15.75" hidden="false" customHeight="false" outlineLevel="0" collapsed="false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</row>
    <row r="286" customFormat="false" ht="15.75" hidden="false" customHeight="false" outlineLevel="0" collapsed="false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</row>
    <row r="287" customFormat="false" ht="15.75" hidden="false" customHeight="false" outlineLevel="0" collapsed="false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</row>
    <row r="288" customFormat="false" ht="15.75" hidden="false" customHeight="false" outlineLevel="0" collapsed="false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</row>
    <row r="289" customFormat="false" ht="15.75" hidden="false" customHeight="false" outlineLevel="0" collapsed="false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</row>
    <row r="290" customFormat="false" ht="15.75" hidden="false" customHeight="false" outlineLevel="0" collapsed="false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</row>
    <row r="291" customFormat="false" ht="15.75" hidden="false" customHeight="false" outlineLevel="0" collapsed="false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</row>
    <row r="292" customFormat="false" ht="15.75" hidden="false" customHeight="false" outlineLevel="0" collapsed="false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</row>
    <row r="293" customFormat="false" ht="15.75" hidden="false" customHeight="false" outlineLevel="0" collapsed="false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</row>
    <row r="294" customFormat="false" ht="15.75" hidden="false" customHeight="false" outlineLevel="0" collapsed="false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</row>
    <row r="295" customFormat="false" ht="15.75" hidden="false" customHeight="false" outlineLevel="0" collapsed="false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</row>
    <row r="296" customFormat="false" ht="15.75" hidden="false" customHeight="false" outlineLevel="0" collapsed="false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</row>
    <row r="297" customFormat="false" ht="15.75" hidden="false" customHeight="false" outlineLevel="0" collapsed="false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</row>
    <row r="298" customFormat="false" ht="15.75" hidden="false" customHeight="false" outlineLevel="0" collapsed="false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</row>
    <row r="299" customFormat="false" ht="15.75" hidden="false" customHeight="false" outlineLevel="0" collapsed="false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</row>
    <row r="300" customFormat="false" ht="15.75" hidden="false" customHeight="false" outlineLevel="0" collapsed="false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</row>
    <row r="301" customFormat="false" ht="15.75" hidden="false" customHeight="false" outlineLevel="0" collapsed="false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</row>
    <row r="302" customFormat="false" ht="15.75" hidden="false" customHeight="false" outlineLevel="0" collapsed="false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</row>
    <row r="303" customFormat="false" ht="15.75" hidden="false" customHeight="false" outlineLevel="0" collapsed="false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</row>
    <row r="304" customFormat="false" ht="15.75" hidden="false" customHeight="false" outlineLevel="0" collapsed="false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</row>
    <row r="305" customFormat="false" ht="15.75" hidden="false" customHeight="false" outlineLevel="0" collapsed="false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</row>
    <row r="306" customFormat="false" ht="15.75" hidden="false" customHeight="false" outlineLevel="0" collapsed="false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</row>
    <row r="307" customFormat="false" ht="15.75" hidden="false" customHeight="false" outlineLevel="0" collapsed="false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</row>
    <row r="308" customFormat="false" ht="15.75" hidden="false" customHeight="false" outlineLevel="0" collapsed="false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</row>
    <row r="309" customFormat="false" ht="15.75" hidden="false" customHeight="false" outlineLevel="0" collapsed="false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</row>
    <row r="310" customFormat="false" ht="15.75" hidden="false" customHeight="false" outlineLevel="0" collapsed="false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</row>
    <row r="311" customFormat="false" ht="15.75" hidden="false" customHeight="false" outlineLevel="0" collapsed="false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</row>
    <row r="312" customFormat="false" ht="15.75" hidden="false" customHeight="false" outlineLevel="0" collapsed="false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</row>
    <row r="313" customFormat="false" ht="15.75" hidden="false" customHeight="false" outlineLevel="0" collapsed="false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</row>
    <row r="314" customFormat="false" ht="15.75" hidden="false" customHeight="false" outlineLevel="0" collapsed="false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</row>
    <row r="315" customFormat="false" ht="15.75" hidden="false" customHeight="false" outlineLevel="0" collapsed="false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</row>
    <row r="316" customFormat="false" ht="15.75" hidden="false" customHeight="false" outlineLevel="0" collapsed="false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</row>
    <row r="317" customFormat="false" ht="15.75" hidden="false" customHeight="false" outlineLevel="0" collapsed="false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</row>
    <row r="318" customFormat="false" ht="15.75" hidden="false" customHeight="false" outlineLevel="0" collapsed="false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</row>
    <row r="319" customFormat="false" ht="15.75" hidden="false" customHeight="false" outlineLevel="0" collapsed="false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</row>
    <row r="320" customFormat="false" ht="15.75" hidden="false" customHeight="false" outlineLevel="0" collapsed="false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</row>
    <row r="321" customFormat="false" ht="15.75" hidden="false" customHeight="false" outlineLevel="0" collapsed="false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</row>
    <row r="322" customFormat="false" ht="15.75" hidden="false" customHeight="false" outlineLevel="0" collapsed="false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</row>
    <row r="323" customFormat="false" ht="15.75" hidden="false" customHeight="false" outlineLevel="0" collapsed="false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</row>
    <row r="324" customFormat="false" ht="15.75" hidden="false" customHeight="false" outlineLevel="0" collapsed="false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</row>
    <row r="325" customFormat="false" ht="15.75" hidden="false" customHeight="false" outlineLevel="0" collapsed="false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</row>
    <row r="326" customFormat="false" ht="15.75" hidden="false" customHeight="false" outlineLevel="0" collapsed="false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</row>
    <row r="327" customFormat="false" ht="15.75" hidden="false" customHeight="false" outlineLevel="0" collapsed="false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</row>
    <row r="328" customFormat="false" ht="15.75" hidden="false" customHeight="false" outlineLevel="0" collapsed="false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</row>
    <row r="329" customFormat="false" ht="15.75" hidden="false" customHeight="false" outlineLevel="0" collapsed="false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</row>
    <row r="330" customFormat="false" ht="15.75" hidden="false" customHeight="false" outlineLevel="0" collapsed="false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</row>
    <row r="331" customFormat="false" ht="15.75" hidden="false" customHeight="false" outlineLevel="0" collapsed="false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</row>
    <row r="332" customFormat="false" ht="15.75" hidden="false" customHeight="false" outlineLevel="0" collapsed="false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</row>
    <row r="333" customFormat="false" ht="15.75" hidden="false" customHeight="false" outlineLevel="0" collapsed="false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</row>
    <row r="334" customFormat="false" ht="15.75" hidden="false" customHeight="false" outlineLevel="0" collapsed="false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</row>
    <row r="335" customFormat="false" ht="15.75" hidden="false" customHeight="false" outlineLevel="0" collapsed="false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</row>
    <row r="336" customFormat="false" ht="15.75" hidden="false" customHeight="false" outlineLevel="0" collapsed="false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</row>
    <row r="337" customFormat="false" ht="15.75" hidden="false" customHeight="false" outlineLevel="0" collapsed="false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</row>
    <row r="338" customFormat="false" ht="15.75" hidden="false" customHeight="false" outlineLevel="0" collapsed="false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</row>
    <row r="339" customFormat="false" ht="15.75" hidden="false" customHeight="false" outlineLevel="0" collapsed="false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</row>
    <row r="340" customFormat="false" ht="15.75" hidden="false" customHeight="false" outlineLevel="0" collapsed="false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</row>
    <row r="341" customFormat="false" ht="15.75" hidden="false" customHeight="false" outlineLevel="0" collapsed="false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</row>
    <row r="342" customFormat="false" ht="15.75" hidden="false" customHeight="false" outlineLevel="0" collapsed="false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</row>
    <row r="343" customFormat="false" ht="15.75" hidden="false" customHeight="false" outlineLevel="0" collapsed="false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</row>
    <row r="344" customFormat="false" ht="15.75" hidden="false" customHeight="false" outlineLevel="0" collapsed="false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</row>
    <row r="345" customFormat="false" ht="15.75" hidden="false" customHeight="false" outlineLevel="0" collapsed="false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</row>
    <row r="346" customFormat="false" ht="15.75" hidden="false" customHeight="false" outlineLevel="0" collapsed="false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</row>
    <row r="347" customFormat="false" ht="15.75" hidden="false" customHeight="false" outlineLevel="0" collapsed="false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</row>
    <row r="348" customFormat="false" ht="15.75" hidden="false" customHeight="false" outlineLevel="0" collapsed="false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</row>
  </sheetData>
  <autoFilter ref="A1:L31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30" activePane="bottomLeft" state="frozen"/>
      <selection pane="topLeft" activeCell="A1" activeCellId="0" sqref="A1"/>
      <selection pane="bottomLeft" activeCell="I41" activeCellId="0" sqref="I41"/>
    </sheetView>
  </sheetViews>
  <sheetFormatPr defaultColWidth="8.62109375" defaultRowHeight="15.75" customHeight="true" zeroHeight="false" outlineLevelRow="0" outlineLevelCol="0"/>
  <cols>
    <col collapsed="false" customWidth="true" hidden="false" outlineLevel="0" max="1" min="1" style="1" width="5.25"/>
    <col collapsed="false" customWidth="true" hidden="false" outlineLevel="0" max="2" min="2" style="1" width="7.88"/>
    <col collapsed="false" customWidth="true" hidden="false" outlineLevel="0" max="3" min="3" style="6" width="48"/>
    <col collapsed="false" customWidth="true" hidden="false" outlineLevel="0" max="4" min="4" style="1" width="14.25"/>
    <col collapsed="false" customWidth="true" hidden="false" outlineLevel="0" max="5" min="5" style="1" width="21.37"/>
    <col collapsed="false" customWidth="true" hidden="false" outlineLevel="0" max="6" min="6" style="1" width="17.37"/>
    <col collapsed="false" customWidth="true" hidden="false" outlineLevel="0" max="7" min="7" style="1" width="16.25"/>
    <col collapsed="false" customWidth="true" hidden="false" outlineLevel="0" max="8" min="8" style="1" width="16"/>
    <col collapsed="false" customWidth="true" hidden="false" outlineLevel="0" max="10" min="9" style="1" width="18.63"/>
  </cols>
  <sheetData>
    <row r="1" customFormat="false" ht="15.75" hidden="false" customHeight="false" outlineLevel="0" collapsed="false">
      <c r="A1" s="55" t="s">
        <v>404</v>
      </c>
      <c r="B1" s="55"/>
      <c r="C1" s="55"/>
      <c r="D1" s="55"/>
      <c r="E1" s="55"/>
      <c r="F1" s="55"/>
      <c r="G1" s="55"/>
      <c r="H1" s="55"/>
      <c r="I1" s="55"/>
      <c r="J1" s="55"/>
    </row>
    <row r="2" customFormat="false" ht="15.75" hidden="false" customHeight="false" outlineLevel="0" collapsed="false">
      <c r="A2" s="56" t="str">
        <f aca="false">'Report BPG'!M2</f>
        <v>BULAN JUNI TAHUN 2026</v>
      </c>
      <c r="B2" s="56"/>
      <c r="C2" s="56"/>
      <c r="D2" s="56"/>
      <c r="E2" s="56"/>
      <c r="F2" s="56"/>
      <c r="G2" s="56"/>
      <c r="H2" s="56"/>
      <c r="I2" s="56"/>
      <c r="J2" s="56"/>
    </row>
    <row r="3" customFormat="false" ht="15.75" hidden="false" customHeight="false" outlineLevel="0" collapsed="false">
      <c r="A3" s="57" t="s">
        <v>18</v>
      </c>
      <c r="B3" s="58"/>
      <c r="C3" s="59"/>
      <c r="D3" s="58"/>
      <c r="E3" s="58"/>
      <c r="F3" s="58"/>
      <c r="G3" s="58"/>
      <c r="H3" s="58"/>
      <c r="I3" s="58"/>
      <c r="J3" s="58"/>
    </row>
    <row r="4" s="64" customFormat="true" ht="15.75" hidden="false" customHeight="true" outlineLevel="0" collapsed="false">
      <c r="A4" s="60" t="s">
        <v>19</v>
      </c>
      <c r="B4" s="61" t="s">
        <v>405</v>
      </c>
      <c r="C4" s="62" t="s">
        <v>21</v>
      </c>
      <c r="D4" s="63" t="s">
        <v>402</v>
      </c>
      <c r="E4" s="63"/>
      <c r="F4" s="63"/>
      <c r="G4" s="63" t="s">
        <v>406</v>
      </c>
      <c r="H4" s="63"/>
      <c r="I4" s="63"/>
      <c r="J4" s="63"/>
    </row>
    <row r="5" s="64" customFormat="true" ht="15.75" hidden="false" customHeight="false" outlineLevel="0" collapsed="false">
      <c r="A5" s="60"/>
      <c r="B5" s="65" t="s">
        <v>395</v>
      </c>
      <c r="C5" s="62"/>
      <c r="D5" s="61" t="s">
        <v>407</v>
      </c>
      <c r="E5" s="61" t="s">
        <v>408</v>
      </c>
      <c r="F5" s="61" t="s">
        <v>29</v>
      </c>
      <c r="G5" s="61" t="s">
        <v>409</v>
      </c>
      <c r="H5" s="61" t="s">
        <v>410</v>
      </c>
      <c r="I5" s="61" t="s">
        <v>411</v>
      </c>
      <c r="J5" s="61" t="s">
        <v>30</v>
      </c>
    </row>
    <row r="6" customFormat="false" ht="15.75" hidden="false" customHeight="false" outlineLevel="0" collapsed="false">
      <c r="A6" s="15"/>
      <c r="B6" s="16" t="s">
        <v>32</v>
      </c>
      <c r="C6" s="66" t="s">
        <v>33</v>
      </c>
      <c r="D6" s="67" t="n">
        <f aca="false">SUM(D7+D8+D9+D10+D11+D12+D13+D14+D15+D16+D17+D18+D19+D20)</f>
        <v>0</v>
      </c>
      <c r="E6" s="67" t="n">
        <f aca="false">SUM(E7+E8+E9+E10+E11+E12+E13+E14+E15+E16+E17+E18+E19+E20)</f>
        <v>0</v>
      </c>
      <c r="F6" s="67" t="n">
        <f aca="false">D6+E6</f>
        <v>0</v>
      </c>
      <c r="G6" s="67" t="n">
        <f aca="false">SUM(G7+G8+G9+G10+G11+G12+G13+G14+G15+G16+G17+G18+G19+G20)</f>
        <v>0</v>
      </c>
      <c r="H6" s="67" t="n">
        <f aca="false">SUM(H7+H8+H9+H10+H11+H12+H13+H14+H15+H16+H17+H18+H19+H20)</f>
        <v>0</v>
      </c>
      <c r="I6" s="67" t="n">
        <f aca="false">SUM(I7+I8+I9+I10+I11+I12+I13+I14+I15+I16+I17+I18+I19+I20)</f>
        <v>0</v>
      </c>
      <c r="J6" s="67" t="n">
        <f aca="false">G6+H6-I6+F6</f>
        <v>0</v>
      </c>
    </row>
    <row r="7" customFormat="false" ht="15.75" hidden="false" customHeight="false" outlineLevel="0" collapsed="false">
      <c r="A7" s="19" t="n">
        <v>1</v>
      </c>
      <c r="B7" s="68" t="s">
        <v>34</v>
      </c>
      <c r="C7" s="69" t="s">
        <v>35</v>
      </c>
      <c r="D7" s="70" t="n">
        <f aca="false">IFERROR(VALUE(SUBSTITUTE(INDEX('Paste BPN'!$A:$Z,MATCH($B7,'Paste BPN'!$C:$C,0),MATCH("KAS TUNAI",'Paste BPN'!$3:$3,0)),".","")),0)</f>
        <v>0</v>
      </c>
      <c r="E7" s="71" t="n">
        <f aca="false">IFERROR(VALUE(SUBSTITUTE(INDEX('Paste BPN'!$A:$Z,MATCH($B7,'Paste BPN'!$C:$C,0),MATCH("KAS BANK",'Paste BPN'!$3:$3,0)),".","")),0)</f>
        <v>0</v>
      </c>
      <c r="F7" s="72" t="n">
        <f aca="false">D7+E7</f>
        <v>0</v>
      </c>
      <c r="G7" s="70" t="n">
        <f aca="false">IFERROR(VALUE(SUBSTITUTE(INDEX('Paste BPN'!$A:$Z,MATCH($B7,'Paste BPN'!$C:$C,0),MATCH("SALDO AWAL PNBP",'Paste BPN'!$3:$3,0)),".","")),0)</f>
        <v>0</v>
      </c>
      <c r="H7" s="73" t="n">
        <f aca="false">IFERROR(VALUE(SUBSTITUTE(INDEX('Paste BPN'!$A:$Z,MATCH($B7,'Paste BPN'!$C:$C,0),MATCH("PENERIMAAN PNBP",'Paste BPN'!$3:$3,0)),".","")),0)</f>
        <v>0</v>
      </c>
      <c r="I7" s="70" t="n">
        <f aca="false">IFERROR(VALUE(SUBSTITUTE(INDEX('Paste BPN'!$A:$Z,MATCH($B7,'Paste BPN'!$C:$C,0),MATCH("PENYETORAN PNBP",'Paste BPN'!$3:$3,0)),".","")),0)</f>
        <v>0</v>
      </c>
      <c r="J7" s="72" t="n">
        <f aca="false">G7+H7-I7+F7</f>
        <v>0</v>
      </c>
    </row>
    <row r="8" customFormat="false" ht="15.75" hidden="false" customHeight="false" outlineLevel="0" collapsed="false">
      <c r="A8" s="19" t="n">
        <v>2</v>
      </c>
      <c r="B8" s="19" t="s">
        <v>36</v>
      </c>
      <c r="C8" s="74" t="s">
        <v>37</v>
      </c>
      <c r="D8" s="70" t="n">
        <f aca="false">IFERROR(VALUE(SUBSTITUTE(INDEX('Paste BPN'!$A:$Z,MATCH($B8,'Paste BPN'!$C:$C,0),MATCH("KAS TUNAI",'Paste BPN'!$3:$3,0)),".","")),0)</f>
        <v>0</v>
      </c>
      <c r="E8" s="71" t="n">
        <f aca="false">IFERROR(VALUE(SUBSTITUTE(INDEX('Paste BPN'!$A:$Z,MATCH($B8,'Paste BPN'!$C:$C,0),MATCH("KAS BANK",'Paste BPN'!$3:$3,0)),".","")),0)</f>
        <v>0</v>
      </c>
      <c r="F8" s="72" t="n">
        <f aca="false">D8+E8</f>
        <v>0</v>
      </c>
      <c r="G8" s="70" t="n">
        <f aca="false">IFERROR(VALUE(SUBSTITUTE(INDEX('Paste BPN'!$A:$Z,MATCH($B8,'Paste BPN'!$C:$C,0),MATCH("SALDO AWAL PNBP",'Paste BPN'!$3:$3,0)),".","")),0)</f>
        <v>0</v>
      </c>
      <c r="H8" s="73" t="n">
        <f aca="false">IFERROR(VALUE(SUBSTITUTE(INDEX('Paste BPN'!$A:$Z,MATCH($B8,'Paste BPN'!$C:$C,0),MATCH("PENERIMAAN PNBP",'Paste BPN'!$3:$3,0)),".","")),0)</f>
        <v>0</v>
      </c>
      <c r="I8" s="70" t="n">
        <f aca="false">IFERROR(VALUE(SUBSTITUTE(INDEX('Paste BPN'!$A:$Z,MATCH($B8,'Paste BPN'!$C:$C,0),MATCH("PENYETORAN PNBP",'Paste BPN'!$3:$3,0)),".","")),0)</f>
        <v>0</v>
      </c>
      <c r="J8" s="72" t="n">
        <f aca="false">G8+H8-I8+F8</f>
        <v>0</v>
      </c>
    </row>
    <row r="9" customFormat="false" ht="15.75" hidden="false" customHeight="false" outlineLevel="0" collapsed="false">
      <c r="A9" s="19" t="n">
        <v>3</v>
      </c>
      <c r="B9" s="19" t="s">
        <v>38</v>
      </c>
      <c r="C9" s="74" t="s">
        <v>35</v>
      </c>
      <c r="D9" s="70" t="n">
        <f aca="false">IFERROR(VALUE(SUBSTITUTE(INDEX('Paste BPN'!$A:$Z,MATCH($B9,'Paste BPN'!$C:$C,0),MATCH("KAS TUNAI",'Paste BPN'!$3:$3,0)),".","")),0)</f>
        <v>0</v>
      </c>
      <c r="E9" s="71" t="n">
        <f aca="false">IFERROR(VALUE(SUBSTITUTE(INDEX('Paste BPN'!$A:$Z,MATCH($B9,'Paste BPN'!$C:$C,0),MATCH("KAS BANK",'Paste BPN'!$3:$3,0)),".","")),0)</f>
        <v>0</v>
      </c>
      <c r="F9" s="72" t="n">
        <f aca="false">D9+E9</f>
        <v>0</v>
      </c>
      <c r="G9" s="70" t="n">
        <f aca="false">IFERROR(VALUE(SUBSTITUTE(INDEX('Paste BPN'!$A:$Z,MATCH($B9,'Paste BPN'!$C:$C,0),MATCH("SALDO AWAL PNBP",'Paste BPN'!$3:$3,0)),".","")),0)</f>
        <v>0</v>
      </c>
      <c r="H9" s="73" t="n">
        <f aca="false">IFERROR(VALUE(SUBSTITUTE(INDEX('Paste BPN'!$A:$Z,MATCH($B9,'Paste BPN'!$C:$C,0),MATCH("PENERIMAAN PNBP",'Paste BPN'!$3:$3,0)),".","")),0)</f>
        <v>0</v>
      </c>
      <c r="I9" s="70" t="n">
        <f aca="false">IFERROR(VALUE(SUBSTITUTE(INDEX('Paste BPN'!$A:$Z,MATCH($B9,'Paste BPN'!$C:$C,0),MATCH("PENYETORAN PNBP",'Paste BPN'!$3:$3,0)),".","")),0)</f>
        <v>0</v>
      </c>
      <c r="J9" s="72" t="n">
        <f aca="false">G9+H9-I9+F9</f>
        <v>0</v>
      </c>
    </row>
    <row r="10" customFormat="false" ht="15.75" hidden="false" customHeight="false" outlineLevel="0" collapsed="false">
      <c r="A10" s="19" t="n">
        <v>4</v>
      </c>
      <c r="B10" s="19" t="s">
        <v>39</v>
      </c>
      <c r="C10" s="74" t="s">
        <v>37</v>
      </c>
      <c r="D10" s="70" t="n">
        <f aca="false">IFERROR(VALUE(SUBSTITUTE(INDEX('Paste BPN'!$A:$Z,MATCH($B10,'Paste BPN'!$C:$C,0),MATCH("KAS TUNAI",'Paste BPN'!$3:$3,0)),".","")),0)</f>
        <v>0</v>
      </c>
      <c r="E10" s="71" t="n">
        <f aca="false">IFERROR(VALUE(SUBSTITUTE(INDEX('Paste BPN'!$A:$Z,MATCH($B10,'Paste BPN'!$C:$C,0),MATCH("KAS BANK",'Paste BPN'!$3:$3,0)),".","")),0)</f>
        <v>0</v>
      </c>
      <c r="F10" s="72" t="n">
        <f aca="false">D10+E10</f>
        <v>0</v>
      </c>
      <c r="G10" s="70" t="n">
        <f aca="false">IFERROR(VALUE(SUBSTITUTE(INDEX('Paste BPN'!$A:$Z,MATCH($B10,'Paste BPN'!$C:$C,0),MATCH("SALDO AWAL PNBP",'Paste BPN'!$3:$3,0)),".","")),0)</f>
        <v>0</v>
      </c>
      <c r="H10" s="73" t="n">
        <f aca="false">IFERROR(VALUE(SUBSTITUTE(INDEX('Paste BPN'!$A:$Z,MATCH($B10,'Paste BPN'!$C:$C,0),MATCH("PENERIMAAN PNBP",'Paste BPN'!$3:$3,0)),".","")),0)</f>
        <v>0</v>
      </c>
      <c r="I10" s="70" t="n">
        <f aca="false">IFERROR(VALUE(SUBSTITUTE(INDEX('Paste BPN'!$A:$Z,MATCH($B10,'Paste BPN'!$C:$C,0),MATCH("PENYETORAN PNBP",'Paste BPN'!$3:$3,0)),".","")),0)</f>
        <v>0</v>
      </c>
      <c r="J10" s="72" t="n">
        <f aca="false">G10+H10-I10+F10</f>
        <v>0</v>
      </c>
    </row>
    <row r="11" customFormat="false" ht="15.75" hidden="false" customHeight="false" outlineLevel="0" collapsed="false">
      <c r="A11" s="19" t="n">
        <v>5</v>
      </c>
      <c r="B11" s="19" t="s">
        <v>40</v>
      </c>
      <c r="C11" s="74" t="s">
        <v>41</v>
      </c>
      <c r="D11" s="70" t="n">
        <f aca="false">IFERROR(VALUE(SUBSTITUTE(INDEX('Paste BPN'!$A:$Z,MATCH($B11,'Paste BPN'!$C:$C,0),MATCH("KAS TUNAI",'Paste BPN'!$3:$3,0)),".","")),0)</f>
        <v>0</v>
      </c>
      <c r="E11" s="71" t="n">
        <f aca="false">IFERROR(VALUE(SUBSTITUTE(INDEX('Paste BPN'!$A:$Z,MATCH($B11,'Paste BPN'!$C:$C,0),MATCH("KAS BANK",'Paste BPN'!$3:$3,0)),".","")),0)</f>
        <v>0</v>
      </c>
      <c r="F11" s="72" t="n">
        <f aca="false">D11+E11</f>
        <v>0</v>
      </c>
      <c r="G11" s="70" t="n">
        <f aca="false">IFERROR(VALUE(SUBSTITUTE(INDEX('Paste BPN'!$A:$Z,MATCH($B11,'Paste BPN'!$C:$C,0),MATCH("SALDO AWAL PNBP",'Paste BPN'!$3:$3,0)),".","")),0)</f>
        <v>0</v>
      </c>
      <c r="H11" s="73" t="n">
        <f aca="false">IFERROR(VALUE(SUBSTITUTE(INDEX('Paste BPN'!$A:$Z,MATCH($B11,'Paste BPN'!$C:$C,0),MATCH("PENERIMAAN PNBP",'Paste BPN'!$3:$3,0)),".","")),0)</f>
        <v>0</v>
      </c>
      <c r="I11" s="70" t="n">
        <f aca="false">IFERROR(VALUE(SUBSTITUTE(INDEX('Paste BPN'!$A:$Z,MATCH($B11,'Paste BPN'!$C:$C,0),MATCH("PENYETORAN PNBP",'Paste BPN'!$3:$3,0)),".","")),0)</f>
        <v>0</v>
      </c>
      <c r="J11" s="72" t="n">
        <f aca="false">G11+H11-I11+F11</f>
        <v>0</v>
      </c>
    </row>
    <row r="12" customFormat="false" ht="15.75" hidden="false" customHeight="false" outlineLevel="0" collapsed="false">
      <c r="A12" s="19" t="n">
        <v>6</v>
      </c>
      <c r="B12" s="19" t="s">
        <v>42</v>
      </c>
      <c r="C12" s="74" t="s">
        <v>41</v>
      </c>
      <c r="D12" s="70" t="n">
        <f aca="false">IFERROR(VALUE(SUBSTITUTE(INDEX('Paste BPN'!$A:$Z,MATCH($B12,'Paste BPN'!$C:$C,0),MATCH("KAS TUNAI",'Paste BPN'!$3:$3,0)),".","")),0)</f>
        <v>0</v>
      </c>
      <c r="E12" s="71" t="n">
        <f aca="false">IFERROR(VALUE(SUBSTITUTE(INDEX('Paste BPN'!$A:$Z,MATCH($B12,'Paste BPN'!$C:$C,0),MATCH("KAS BANK",'Paste BPN'!$3:$3,0)),".","")),0)</f>
        <v>0</v>
      </c>
      <c r="F12" s="72" t="n">
        <f aca="false">D12+E12</f>
        <v>0</v>
      </c>
      <c r="G12" s="70" t="n">
        <f aca="false">IFERROR(VALUE(SUBSTITUTE(INDEX('Paste BPN'!$A:$Z,MATCH($B12,'Paste BPN'!$C:$C,0),MATCH("SALDO AWAL PNBP",'Paste BPN'!$3:$3,0)),".","")),0)</f>
        <v>0</v>
      </c>
      <c r="H12" s="73" t="n">
        <f aca="false">IFERROR(VALUE(SUBSTITUTE(INDEX('Paste BPN'!$A:$Z,MATCH($B12,'Paste BPN'!$C:$C,0),MATCH("PENERIMAAN PNBP",'Paste BPN'!$3:$3,0)),".","")),0)</f>
        <v>0</v>
      </c>
      <c r="I12" s="70" t="n">
        <f aca="false">IFERROR(VALUE(SUBSTITUTE(INDEX('Paste BPN'!$A:$Z,MATCH($B12,'Paste BPN'!$C:$C,0),MATCH("PENYETORAN PNBP",'Paste BPN'!$3:$3,0)),".","")),0)</f>
        <v>0</v>
      </c>
      <c r="J12" s="72" t="n">
        <f aca="false">G12+H12-I12+F12</f>
        <v>0</v>
      </c>
    </row>
    <row r="13" customFormat="false" ht="15.75" hidden="false" customHeight="false" outlineLevel="0" collapsed="false">
      <c r="A13" s="19" t="n">
        <v>7</v>
      </c>
      <c r="B13" s="19" t="s">
        <v>43</v>
      </c>
      <c r="C13" s="74" t="s">
        <v>44</v>
      </c>
      <c r="D13" s="70" t="n">
        <f aca="false">IFERROR(VALUE(SUBSTITUTE(INDEX('Paste BPN'!$A:$Z,MATCH($B13,'Paste BPN'!$C:$C,0),MATCH("KAS TUNAI",'Paste BPN'!$3:$3,0)),".","")),0)</f>
        <v>0</v>
      </c>
      <c r="E13" s="71" t="n">
        <f aca="false">IFERROR(VALUE(SUBSTITUTE(INDEX('Paste BPN'!$A:$Z,MATCH($B13,'Paste BPN'!$C:$C,0),MATCH("KAS BANK",'Paste BPN'!$3:$3,0)),".","")),0)</f>
        <v>0</v>
      </c>
      <c r="F13" s="72" t="n">
        <f aca="false">D13+E13</f>
        <v>0</v>
      </c>
      <c r="G13" s="70" t="n">
        <f aca="false">IFERROR(VALUE(SUBSTITUTE(INDEX('Paste BPN'!$A:$Z,MATCH($B13,'Paste BPN'!$C:$C,0),MATCH("SALDO AWAL PNBP",'Paste BPN'!$3:$3,0)),".","")),0)</f>
        <v>0</v>
      </c>
      <c r="H13" s="73" t="n">
        <f aca="false">IFERROR(VALUE(SUBSTITUTE(INDEX('Paste BPN'!$A:$Z,MATCH($B13,'Paste BPN'!$C:$C,0),MATCH("PENERIMAAN PNBP",'Paste BPN'!$3:$3,0)),".","")),0)</f>
        <v>0</v>
      </c>
      <c r="I13" s="70" t="n">
        <f aca="false">IFERROR(VALUE(SUBSTITUTE(INDEX('Paste BPN'!$A:$Z,MATCH($B13,'Paste BPN'!$C:$C,0),MATCH("PENYETORAN PNBP",'Paste BPN'!$3:$3,0)),".","")),0)</f>
        <v>0</v>
      </c>
      <c r="J13" s="72" t="n">
        <f aca="false">G13+H13-I13+F13</f>
        <v>0</v>
      </c>
    </row>
    <row r="14" customFormat="false" ht="15.75" hidden="false" customHeight="false" outlineLevel="0" collapsed="false">
      <c r="A14" s="19" t="n">
        <v>8</v>
      </c>
      <c r="B14" s="19" t="s">
        <v>45</v>
      </c>
      <c r="C14" s="74" t="s">
        <v>44</v>
      </c>
      <c r="D14" s="70" t="n">
        <f aca="false">IFERROR(VALUE(SUBSTITUTE(INDEX('Paste BPN'!$A:$Z,MATCH($B14,'Paste BPN'!$C:$C,0),MATCH("KAS TUNAI",'Paste BPN'!$3:$3,0)),".","")),0)</f>
        <v>0</v>
      </c>
      <c r="E14" s="71" t="n">
        <f aca="false">IFERROR(VALUE(SUBSTITUTE(INDEX('Paste BPN'!$A:$Z,MATCH($B14,'Paste BPN'!$C:$C,0),MATCH("KAS BANK",'Paste BPN'!$3:$3,0)),".","")),0)</f>
        <v>0</v>
      </c>
      <c r="F14" s="72" t="n">
        <f aca="false">D14+E14</f>
        <v>0</v>
      </c>
      <c r="G14" s="70" t="n">
        <f aca="false">IFERROR(VALUE(SUBSTITUTE(INDEX('Paste BPN'!$A:$Z,MATCH($B14,'Paste BPN'!$C:$C,0),MATCH("SALDO AWAL PNBP",'Paste BPN'!$3:$3,0)),".","")),0)</f>
        <v>0</v>
      </c>
      <c r="H14" s="73" t="n">
        <f aca="false">IFERROR(VALUE(SUBSTITUTE(INDEX('Paste BPN'!$A:$Z,MATCH($B14,'Paste BPN'!$C:$C,0),MATCH("PENERIMAAN PNBP",'Paste BPN'!$3:$3,0)),".","")),0)</f>
        <v>0</v>
      </c>
      <c r="I14" s="70" t="n">
        <f aca="false">IFERROR(VALUE(SUBSTITUTE(INDEX('Paste BPN'!$A:$Z,MATCH($B14,'Paste BPN'!$C:$C,0),MATCH("PENYETORAN PNBP",'Paste BPN'!$3:$3,0)),".","")),0)</f>
        <v>0</v>
      </c>
      <c r="J14" s="72" t="n">
        <f aca="false">G14+H14-I14+F14</f>
        <v>0</v>
      </c>
    </row>
    <row r="15" customFormat="false" ht="15.75" hidden="false" customHeight="false" outlineLevel="0" collapsed="false">
      <c r="A15" s="19" t="n">
        <v>9</v>
      </c>
      <c r="B15" s="19" t="s">
        <v>48</v>
      </c>
      <c r="C15" s="74" t="s">
        <v>47</v>
      </c>
      <c r="D15" s="70" t="n">
        <f aca="false">IFERROR(VALUE(SUBSTITUTE(INDEX('Paste BPN'!$A:$Z,MATCH($B15,'Paste BPN'!$C:$C,0),MATCH("KAS TUNAI",'Paste BPN'!$3:$3,0)),".","")),0)</f>
        <v>0</v>
      </c>
      <c r="E15" s="71" t="n">
        <f aca="false">IFERROR(VALUE(SUBSTITUTE(INDEX('Paste BPN'!$A:$Z,MATCH($B15,'Paste BPN'!$C:$C,0),MATCH("KAS BANK",'Paste BPN'!$3:$3,0)),".","")),0)</f>
        <v>0</v>
      </c>
      <c r="F15" s="72" t="n">
        <f aca="false">D15+E15</f>
        <v>0</v>
      </c>
      <c r="G15" s="70" t="n">
        <f aca="false">IFERROR(VALUE(SUBSTITUTE(INDEX('Paste BPN'!$A:$Z,MATCH($B15,'Paste BPN'!$C:$C,0),MATCH("SALDO AWAL PNBP",'Paste BPN'!$3:$3,0)),".","")),0)</f>
        <v>0</v>
      </c>
      <c r="H15" s="73" t="n">
        <f aca="false">IFERROR(VALUE(SUBSTITUTE(INDEX('Paste BPN'!$A:$Z,MATCH($B15,'Paste BPN'!$C:$C,0),MATCH("PENERIMAAN PNBP",'Paste BPN'!$3:$3,0)),".","")),0)</f>
        <v>0</v>
      </c>
      <c r="I15" s="70" t="n">
        <f aca="false">IFERROR(VALUE(SUBSTITUTE(INDEX('Paste BPN'!$A:$Z,MATCH($B15,'Paste BPN'!$C:$C,0),MATCH("PENYETORAN PNBP",'Paste BPN'!$3:$3,0)),".","")),0)</f>
        <v>0</v>
      </c>
      <c r="J15" s="72" t="n">
        <f aca="false">G15+H15-I15+F15</f>
        <v>0</v>
      </c>
    </row>
    <row r="16" customFormat="false" ht="15.75" hidden="false" customHeight="false" outlineLevel="0" collapsed="false">
      <c r="A16" s="19" t="n">
        <v>10</v>
      </c>
      <c r="B16" s="19" t="s">
        <v>53</v>
      </c>
      <c r="C16" s="74" t="s">
        <v>54</v>
      </c>
      <c r="D16" s="70" t="n">
        <f aca="false">IFERROR(VALUE(SUBSTITUTE(INDEX('Paste BPN'!$A:$Z,MATCH($B16,'Paste BPN'!$C:$C,0),MATCH("KAS TUNAI",'Paste BPN'!$3:$3,0)),".","")),0)</f>
        <v>0</v>
      </c>
      <c r="E16" s="71" t="n">
        <f aca="false">IFERROR(VALUE(SUBSTITUTE(INDEX('Paste BPN'!$A:$Z,MATCH($B16,'Paste BPN'!$C:$C,0),MATCH("KAS BANK",'Paste BPN'!$3:$3,0)),".","")),0)</f>
        <v>0</v>
      </c>
      <c r="F16" s="72" t="n">
        <f aca="false">D16+E16</f>
        <v>0</v>
      </c>
      <c r="G16" s="70" t="n">
        <f aca="false">IFERROR(VALUE(SUBSTITUTE(INDEX('Paste BPN'!$A:$Z,MATCH($B16,'Paste BPN'!$C:$C,0),MATCH("SALDO AWAL PNBP",'Paste BPN'!$3:$3,0)),".","")),0)</f>
        <v>0</v>
      </c>
      <c r="H16" s="73" t="n">
        <f aca="false">IFERROR(VALUE(SUBSTITUTE(INDEX('Paste BPN'!$A:$Z,MATCH($B16,'Paste BPN'!$C:$C,0),MATCH("PENERIMAAN PNBP",'Paste BPN'!$3:$3,0)),".","")),0)</f>
        <v>0</v>
      </c>
      <c r="I16" s="70" t="n">
        <f aca="false">IFERROR(VALUE(SUBSTITUTE(INDEX('Paste BPN'!$A:$Z,MATCH($B16,'Paste BPN'!$C:$C,0),MATCH("PENYETORAN PNBP",'Paste BPN'!$3:$3,0)),".","")),0)</f>
        <v>0</v>
      </c>
      <c r="J16" s="72" t="n">
        <f aca="false">G16+H16-I16+F16</f>
        <v>0</v>
      </c>
    </row>
    <row r="17" customFormat="false" ht="15.75" hidden="false" customHeight="false" outlineLevel="0" collapsed="false">
      <c r="A17" s="19" t="n">
        <v>11</v>
      </c>
      <c r="B17" s="19" t="s">
        <v>55</v>
      </c>
      <c r="C17" s="74" t="s">
        <v>50</v>
      </c>
      <c r="D17" s="70" t="n">
        <f aca="false">IFERROR(VALUE(SUBSTITUTE(INDEX('Paste BPN'!$A:$Z,MATCH($B17,'Paste BPN'!$C:$C,0),MATCH("KAS TUNAI",'Paste BPN'!$3:$3,0)),".","")),0)</f>
        <v>0</v>
      </c>
      <c r="E17" s="71" t="n">
        <f aca="false">IFERROR(VALUE(SUBSTITUTE(INDEX('Paste BPN'!$A:$Z,MATCH($B17,'Paste BPN'!$C:$C,0),MATCH("KAS BANK",'Paste BPN'!$3:$3,0)),".","")),0)</f>
        <v>0</v>
      </c>
      <c r="F17" s="72" t="n">
        <f aca="false">D17+E17</f>
        <v>0</v>
      </c>
      <c r="G17" s="70" t="n">
        <f aca="false">IFERROR(VALUE(SUBSTITUTE(INDEX('Paste BPN'!$A:$Z,MATCH($B17,'Paste BPN'!$C:$C,0),MATCH("SALDO AWAL PNBP",'Paste BPN'!$3:$3,0)),".","")),0)</f>
        <v>0</v>
      </c>
      <c r="H17" s="73" t="n">
        <f aca="false">IFERROR(VALUE(SUBSTITUTE(INDEX('Paste BPN'!$A:$Z,MATCH($B17,'Paste BPN'!$C:$C,0),MATCH("PENERIMAAN PNBP",'Paste BPN'!$3:$3,0)),".","")),0)</f>
        <v>0</v>
      </c>
      <c r="I17" s="70" t="n">
        <f aca="false">IFERROR(VALUE(SUBSTITUTE(INDEX('Paste BPN'!$A:$Z,MATCH($B17,'Paste BPN'!$C:$C,0),MATCH("PENYETORAN PNBP",'Paste BPN'!$3:$3,0)),".","")),0)</f>
        <v>0</v>
      </c>
      <c r="J17" s="72" t="n">
        <f aca="false">G17+H17-I17+F17</f>
        <v>0</v>
      </c>
    </row>
    <row r="18" customFormat="false" ht="15.75" hidden="false" customHeight="false" outlineLevel="0" collapsed="false">
      <c r="A18" s="19" t="n">
        <v>12</v>
      </c>
      <c r="B18" s="19" t="s">
        <v>56</v>
      </c>
      <c r="C18" s="74" t="s">
        <v>57</v>
      </c>
      <c r="D18" s="70" t="n">
        <f aca="false">IFERROR(VALUE(SUBSTITUTE(INDEX('Paste BPN'!$A:$Z,MATCH($B18,'Paste BPN'!$C:$C,0),MATCH("KAS TUNAI",'Paste BPN'!$3:$3,0)),".","")),0)</f>
        <v>0</v>
      </c>
      <c r="E18" s="71" t="n">
        <f aca="false">IFERROR(VALUE(SUBSTITUTE(INDEX('Paste BPN'!$A:$Z,MATCH($B18,'Paste BPN'!$C:$C,0),MATCH("KAS BANK",'Paste BPN'!$3:$3,0)),".","")),0)</f>
        <v>0</v>
      </c>
      <c r="F18" s="72" t="n">
        <f aca="false">D18+E18</f>
        <v>0</v>
      </c>
      <c r="G18" s="70" t="n">
        <f aca="false">IFERROR(VALUE(SUBSTITUTE(INDEX('Paste BPN'!$A:$Z,MATCH($B18,'Paste BPN'!$C:$C,0),MATCH("SALDO AWAL PNBP",'Paste BPN'!$3:$3,0)),".","")),0)</f>
        <v>0</v>
      </c>
      <c r="H18" s="73" t="n">
        <f aca="false">IFERROR(VALUE(SUBSTITUTE(INDEX('Paste BPN'!$A:$Z,MATCH($B18,'Paste BPN'!$C:$C,0),MATCH("PENERIMAAN PNBP",'Paste BPN'!$3:$3,0)),".","")),0)</f>
        <v>0</v>
      </c>
      <c r="I18" s="70" t="n">
        <f aca="false">IFERROR(VALUE(SUBSTITUTE(INDEX('Paste BPN'!$A:$Z,MATCH($B18,'Paste BPN'!$C:$C,0),MATCH("PENYETORAN PNBP",'Paste BPN'!$3:$3,0)),".","")),0)</f>
        <v>0</v>
      </c>
      <c r="J18" s="72" t="n">
        <f aca="false">G18+H18-I18+F18</f>
        <v>0</v>
      </c>
    </row>
    <row r="19" customFormat="false" ht="15.75" hidden="false" customHeight="false" outlineLevel="0" collapsed="false">
      <c r="A19" s="19" t="n">
        <v>13</v>
      </c>
      <c r="B19" s="19" t="s">
        <v>58</v>
      </c>
      <c r="C19" s="74" t="s">
        <v>54</v>
      </c>
      <c r="D19" s="70" t="n">
        <f aca="false">IFERROR(VALUE(SUBSTITUTE(INDEX('Paste BPN'!$A:$Z,MATCH($B19,'Paste BPN'!$C:$C,0),MATCH("KAS TUNAI",'Paste BPN'!$3:$3,0)),".","")),0)</f>
        <v>0</v>
      </c>
      <c r="E19" s="71" t="n">
        <f aca="false">IFERROR(VALUE(SUBSTITUTE(INDEX('Paste BPN'!$A:$Z,MATCH($B19,'Paste BPN'!$C:$C,0),MATCH("KAS BANK",'Paste BPN'!$3:$3,0)),".","")),0)</f>
        <v>0</v>
      </c>
      <c r="F19" s="72" t="n">
        <f aca="false">D19+E19</f>
        <v>0</v>
      </c>
      <c r="G19" s="70" t="n">
        <f aca="false">IFERROR(VALUE(SUBSTITUTE(INDEX('Paste BPN'!$A:$Z,MATCH($B19,'Paste BPN'!$C:$C,0),MATCH("SALDO AWAL PNBP",'Paste BPN'!$3:$3,0)),".","")),0)</f>
        <v>0</v>
      </c>
      <c r="H19" s="73" t="n">
        <f aca="false">IFERROR(VALUE(SUBSTITUTE(INDEX('Paste BPN'!$A:$Z,MATCH($B19,'Paste BPN'!$C:$C,0),MATCH("PENERIMAAN PNBP",'Paste BPN'!$3:$3,0)),".","")),0)</f>
        <v>0</v>
      </c>
      <c r="I19" s="70" t="n">
        <f aca="false">IFERROR(VALUE(SUBSTITUTE(INDEX('Paste BPN'!$A:$Z,MATCH($B19,'Paste BPN'!$C:$C,0),MATCH("PENYETORAN PNBP",'Paste BPN'!$3:$3,0)),".","")),0)</f>
        <v>0</v>
      </c>
      <c r="J19" s="72" t="n">
        <f aca="false">G19+H19-I19+F19</f>
        <v>0</v>
      </c>
    </row>
    <row r="20" customFormat="false" ht="15.75" hidden="false" customHeight="false" outlineLevel="0" collapsed="false">
      <c r="A20" s="19" t="n">
        <v>14</v>
      </c>
      <c r="B20" s="19" t="s">
        <v>61</v>
      </c>
      <c r="C20" s="74" t="s">
        <v>60</v>
      </c>
      <c r="D20" s="70" t="n">
        <f aca="false">IFERROR(VALUE(SUBSTITUTE(INDEX('Paste BPN'!$A:$Z,MATCH($B20,'Paste BPN'!$C:$C,0),MATCH("KAS TUNAI",'Paste BPN'!$3:$3,0)),".","")),0)</f>
        <v>0</v>
      </c>
      <c r="E20" s="71" t="n">
        <f aca="false">IFERROR(VALUE(SUBSTITUTE(INDEX('Paste BPN'!$A:$Z,MATCH($B20,'Paste BPN'!$C:$C,0),MATCH("KAS BANK",'Paste BPN'!$3:$3,0)),".","")),0)</f>
        <v>0</v>
      </c>
      <c r="F20" s="72" t="n">
        <f aca="false">D20+E20</f>
        <v>0</v>
      </c>
      <c r="G20" s="70" t="n">
        <f aca="false">IFERROR(VALUE(SUBSTITUTE(INDEX('Paste BPN'!$A:$Z,MATCH($B20,'Paste BPN'!$C:$C,0),MATCH("SALDO AWAL PNBP",'Paste BPN'!$3:$3,0)),".","")),0)</f>
        <v>0</v>
      </c>
      <c r="H20" s="73" t="n">
        <f aca="false">IFERROR(VALUE(SUBSTITUTE(INDEX('Paste BPN'!$A:$Z,MATCH($B20,'Paste BPN'!$C:$C,0),MATCH("PENERIMAAN PNBP",'Paste BPN'!$3:$3,0)),".","")),0)</f>
        <v>0</v>
      </c>
      <c r="I20" s="70" t="n">
        <f aca="false">IFERROR(VALUE(SUBSTITUTE(INDEX('Paste BPN'!$A:$Z,MATCH($B20,'Paste BPN'!$C:$C,0),MATCH("PENYETORAN PNBP",'Paste BPN'!$3:$3,0)),".","")),0)</f>
        <v>0</v>
      </c>
      <c r="J20" s="72" t="n">
        <f aca="false">G20+H20-I20+F20</f>
        <v>0</v>
      </c>
    </row>
    <row r="21" customFormat="false" ht="15.75" hidden="false" customHeight="false" outlineLevel="0" collapsed="false">
      <c r="A21" s="27"/>
      <c r="B21" s="75" t="s">
        <v>65</v>
      </c>
      <c r="C21" s="76" t="s">
        <v>66</v>
      </c>
      <c r="D21" s="77" t="n">
        <f aca="false">SUM(D22+D23+D24+D25)</f>
        <v>0</v>
      </c>
      <c r="E21" s="77" t="n">
        <f aca="false">SUM(E22+E23+E24+E25)</f>
        <v>0</v>
      </c>
      <c r="F21" s="77" t="n">
        <f aca="false">SUM(F22:F25)</f>
        <v>0</v>
      </c>
      <c r="G21" s="77" t="n">
        <f aca="false">SUM(G22+G23+G24+G25)</f>
        <v>0</v>
      </c>
      <c r="H21" s="78" t="n">
        <f aca="false">SUM(H22+H23+H24+H25)</f>
        <v>0</v>
      </c>
      <c r="I21" s="77" t="n">
        <f aca="false">SUM(I22+I23+I24+I25)</f>
        <v>0</v>
      </c>
      <c r="J21" s="67" t="n">
        <f aca="false">G21+H21-I21+F21</f>
        <v>0</v>
      </c>
    </row>
    <row r="22" customFormat="false" ht="15.75" hidden="false" customHeight="false" outlineLevel="0" collapsed="false">
      <c r="A22" s="19" t="n">
        <v>15</v>
      </c>
      <c r="B22" s="19" t="s">
        <v>67</v>
      </c>
      <c r="C22" s="74" t="s">
        <v>68</v>
      </c>
      <c r="D22" s="70" t="n">
        <f aca="false">IFERROR(VALUE(SUBSTITUTE(INDEX('Paste BPN'!$A:$Z,MATCH($B22,'Paste BPN'!$C:$C,0),MATCH("KAS TUNAI",'Paste BPN'!$3:$3,0)),".","")),0)</f>
        <v>0</v>
      </c>
      <c r="E22" s="70" t="n">
        <f aca="false">IFERROR(VALUE(SUBSTITUTE(INDEX('Paste BPN'!$A:$Z,MATCH($B22,'Paste BPN'!$C:$C,0),MATCH("KAS BANK",'Paste BPN'!$3:$3,0)),".","")),0)</f>
        <v>0</v>
      </c>
      <c r="F22" s="72" t="n">
        <f aca="false">D22+E22</f>
        <v>0</v>
      </c>
      <c r="G22" s="70" t="n">
        <f aca="false">IFERROR(VALUE(SUBSTITUTE(INDEX('Paste BPN'!$A:$Z,MATCH($B22,'Paste BPN'!$C:$C,0),MATCH("SALDO AWAL PNBP",'Paste BPN'!$3:$3,0)),".","")),0)</f>
        <v>0</v>
      </c>
      <c r="H22" s="73" t="n">
        <f aca="false">IFERROR(VALUE(SUBSTITUTE(INDEX('Paste BPN'!$A:$Z,MATCH($B22,'Paste BPN'!$C:$C,0),MATCH("PENERIMAAN PNBP",'Paste BPN'!$3:$3,0)),".","")),0)</f>
        <v>0</v>
      </c>
      <c r="I22" s="70" t="n">
        <f aca="false">IFERROR(VALUE(SUBSTITUTE(INDEX('Paste BPN'!$A:$Z,MATCH($B22,'Paste BPN'!$C:$C,0),MATCH("PENYETORAN PNBP",'Paste BPN'!$3:$3,0)),".","")),0)</f>
        <v>0</v>
      </c>
      <c r="J22" s="72" t="n">
        <f aca="false">G22+H22-I22+F22</f>
        <v>0</v>
      </c>
    </row>
    <row r="23" customFormat="false" ht="15.75" hidden="false" customHeight="false" outlineLevel="0" collapsed="false">
      <c r="A23" s="19" t="n">
        <v>16</v>
      </c>
      <c r="B23" s="19" t="s">
        <v>69</v>
      </c>
      <c r="C23" s="74" t="s">
        <v>70</v>
      </c>
      <c r="D23" s="70" t="n">
        <f aca="false">IFERROR(VALUE(SUBSTITUTE(INDEX('Paste BPN'!$A:$Z,MATCH($B23,'Paste BPN'!$C:$C,0),MATCH("KAS TUNAI",'Paste BPN'!$3:$3,0)),".","")),0)</f>
        <v>0</v>
      </c>
      <c r="E23" s="70" t="n">
        <f aca="false">IFERROR(VALUE(SUBSTITUTE(INDEX('Paste BPN'!$A:$Z,MATCH($B23,'Paste BPN'!$C:$C,0),MATCH("KAS BANK",'Paste BPN'!$3:$3,0)),".","")),0)</f>
        <v>0</v>
      </c>
      <c r="F23" s="72" t="n">
        <f aca="false">D23+E23</f>
        <v>0</v>
      </c>
      <c r="G23" s="70" t="n">
        <f aca="false">IFERROR(VALUE(SUBSTITUTE(INDEX('Paste BPN'!$A:$Z,MATCH($B23,'Paste BPN'!$C:$C,0),MATCH("SALDO AWAL PNBP",'Paste BPN'!$3:$3,0)),".","")),0)</f>
        <v>0</v>
      </c>
      <c r="H23" s="73" t="n">
        <f aca="false">IFERROR(VALUE(SUBSTITUTE(INDEX('Paste BPN'!$A:$Z,MATCH($B23,'Paste BPN'!$C:$C,0),MATCH("PENERIMAAN PNBP",'Paste BPN'!$3:$3,0)),".","")),0)</f>
        <v>0</v>
      </c>
      <c r="I23" s="70" t="n">
        <f aca="false">IFERROR(VALUE(SUBSTITUTE(INDEX('Paste BPN'!$A:$Z,MATCH($B23,'Paste BPN'!$C:$C,0),MATCH("PENYETORAN PNBP",'Paste BPN'!$3:$3,0)),".","")),0)</f>
        <v>0</v>
      </c>
      <c r="J23" s="72" t="n">
        <f aca="false">G23+H23-I23+F23</f>
        <v>0</v>
      </c>
    </row>
    <row r="24" customFormat="false" ht="15.75" hidden="false" customHeight="false" outlineLevel="0" collapsed="false">
      <c r="A24" s="19" t="n">
        <v>17</v>
      </c>
      <c r="B24" s="19" t="s">
        <v>71</v>
      </c>
      <c r="C24" s="74" t="s">
        <v>72</v>
      </c>
      <c r="D24" s="70" t="n">
        <f aca="false">IFERROR(VALUE(SUBSTITUTE(INDEX('Paste BPN'!$A:$Z,MATCH($B24,'Paste BPN'!$C:$C,0),MATCH("KAS TUNAI",'Paste BPN'!$3:$3,0)),".","")),0)</f>
        <v>0</v>
      </c>
      <c r="E24" s="70" t="n">
        <f aca="false">IFERROR(VALUE(SUBSTITUTE(INDEX('Paste BPN'!$A:$Z,MATCH($B24,'Paste BPN'!$C:$C,0),MATCH("KAS BANK",'Paste BPN'!$3:$3,0)),".","")),0)</f>
        <v>0</v>
      </c>
      <c r="F24" s="72" t="n">
        <f aca="false">D24+E24</f>
        <v>0</v>
      </c>
      <c r="G24" s="70" t="n">
        <f aca="false">IFERROR(VALUE(SUBSTITUTE(INDEX('Paste BPN'!$A:$Z,MATCH($B24,'Paste BPN'!$C:$C,0),MATCH("SALDO AWAL PNBP",'Paste BPN'!$3:$3,0)),".","")),0)</f>
        <v>0</v>
      </c>
      <c r="H24" s="73" t="n">
        <f aca="false">IFERROR(VALUE(SUBSTITUTE(INDEX('Paste BPN'!$A:$Z,MATCH($B24,'Paste BPN'!$C:$C,0),MATCH("PENERIMAAN PNBP",'Paste BPN'!$3:$3,0)),".","")),0)</f>
        <v>0</v>
      </c>
      <c r="I24" s="70" t="n">
        <f aca="false">IFERROR(VALUE(SUBSTITUTE(INDEX('Paste BPN'!$A:$Z,MATCH($B24,'Paste BPN'!$C:$C,0),MATCH("PENYETORAN PNBP",'Paste BPN'!$3:$3,0)),".","")),0)</f>
        <v>0</v>
      </c>
      <c r="J24" s="72" t="n">
        <f aca="false">G24+H24-I24+F24</f>
        <v>0</v>
      </c>
    </row>
    <row r="25" customFormat="false" ht="15.75" hidden="false" customHeight="false" outlineLevel="0" collapsed="false">
      <c r="A25" s="19" t="n">
        <v>18</v>
      </c>
      <c r="B25" s="19" t="s">
        <v>73</v>
      </c>
      <c r="C25" s="74" t="s">
        <v>74</v>
      </c>
      <c r="D25" s="70" t="n">
        <f aca="false">IFERROR(VALUE(SUBSTITUTE(INDEX('Paste BPN'!$A:$Z,MATCH($B25,'Paste BPN'!$C:$C,0),MATCH("KAS TUNAI",'Paste BPN'!$3:$3,0)),".","")),0)</f>
        <v>0</v>
      </c>
      <c r="E25" s="70" t="n">
        <f aca="false">IFERROR(VALUE(SUBSTITUTE(INDEX('Paste BPN'!$A:$Z,MATCH($B25,'Paste BPN'!$C:$C,0),MATCH("KAS BANK",'Paste BPN'!$3:$3,0)),".","")),0)</f>
        <v>0</v>
      </c>
      <c r="F25" s="72" t="n">
        <f aca="false">D25+E25</f>
        <v>0</v>
      </c>
      <c r="G25" s="70" t="n">
        <f aca="false">IFERROR(VALUE(SUBSTITUTE(INDEX('Paste BPN'!$A:$Z,MATCH($B25,'Paste BPN'!$C:$C,0),MATCH("SALDO AWAL PNBP",'Paste BPN'!$3:$3,0)),".","")),0)</f>
        <v>0</v>
      </c>
      <c r="H25" s="73" t="n">
        <f aca="false">IFERROR(VALUE(SUBSTITUTE(INDEX('Paste BPN'!$A:$Z,MATCH($B25,'Paste BPN'!$C:$C,0),MATCH("PENERIMAAN PNBP",'Paste BPN'!$3:$3,0)),".","")),0)</f>
        <v>0</v>
      </c>
      <c r="I25" s="70" t="n">
        <f aca="false">IFERROR(VALUE(SUBSTITUTE(INDEX('Paste BPN'!$A:$Z,MATCH($B25,'Paste BPN'!$C:$C,0),MATCH("PENYETORAN PNBP",'Paste BPN'!$3:$3,0)),".","")),0)</f>
        <v>0</v>
      </c>
      <c r="J25" s="72" t="n">
        <f aca="false">G25+H25-I25+F25</f>
        <v>0</v>
      </c>
    </row>
    <row r="26" customFormat="false" ht="15.75" hidden="false" customHeight="false" outlineLevel="0" collapsed="false">
      <c r="A26" s="27"/>
      <c r="B26" s="75" t="n">
        <v>12</v>
      </c>
      <c r="C26" s="76" t="s">
        <v>76</v>
      </c>
      <c r="D26" s="77" t="n">
        <f aca="false">SUM(D27:D29)</f>
        <v>0</v>
      </c>
      <c r="E26" s="77" t="n">
        <f aca="false">SUM(E27:E29)</f>
        <v>0</v>
      </c>
      <c r="F26" s="67" t="n">
        <f aca="false">D26+E26</f>
        <v>0</v>
      </c>
      <c r="G26" s="77" t="n">
        <f aca="false">SUM(G27:G29)</f>
        <v>0</v>
      </c>
      <c r="H26" s="78" t="n">
        <f aca="false">SUM(H27+H29)</f>
        <v>0</v>
      </c>
      <c r="I26" s="67" t="n">
        <f aca="false">SUM(I27+I29)</f>
        <v>0</v>
      </c>
      <c r="J26" s="67" t="n">
        <f aca="false">G26+H26-I26+F26</f>
        <v>0</v>
      </c>
    </row>
    <row r="27" customFormat="false" ht="15.75" hidden="false" customHeight="false" outlineLevel="0" collapsed="false">
      <c r="A27" s="19" t="n">
        <v>19</v>
      </c>
      <c r="B27" s="19" t="s">
        <v>85</v>
      </c>
      <c r="C27" s="74" t="s">
        <v>86</v>
      </c>
      <c r="D27" s="70" t="n">
        <f aca="false">IFERROR(VALUE(SUBSTITUTE(INDEX('Paste BPN'!$A:$Z,MATCH($B27,'Paste BPN'!$C:$C,0),MATCH("KAS TUNAI",'Paste BPN'!$3:$3,0)),".","")),0)</f>
        <v>0</v>
      </c>
      <c r="E27" s="70" t="n">
        <f aca="false">IFERROR(VALUE(SUBSTITUTE(INDEX('Paste BPN'!$A:$Z,MATCH($B27,'Paste BPN'!$C:$C,0),MATCH("KAS BANK",'Paste BPN'!$3:$3,0)),".","")),0)</f>
        <v>0</v>
      </c>
      <c r="F27" s="72" t="n">
        <f aca="false">D27+E27</f>
        <v>0</v>
      </c>
      <c r="G27" s="70" t="n">
        <f aca="false">IFERROR(VALUE(SUBSTITUTE(INDEX('Paste BPN'!$A:$Z,MATCH($B27,'Paste BPN'!$C:$C,0),MATCH("SALDO AWAL PNBP",'Paste BPN'!$3:$3,0)),".","")),0)</f>
        <v>0</v>
      </c>
      <c r="H27" s="73" t="n">
        <f aca="false">IFERROR(VALUE(SUBSTITUTE(INDEX('Paste BPN'!$A:$Z,MATCH($B27,'Paste BPN'!$C:$C,0),MATCH("PENERIMAAN PNBP",'Paste BPN'!$3:$3,0)),".","")),0)</f>
        <v>0</v>
      </c>
      <c r="I27" s="70" t="n">
        <f aca="false">IFERROR(VALUE(SUBSTITUTE(INDEX('Paste BPN'!$A:$Z,MATCH($B27,'Paste BPN'!$C:$C,0),MATCH("PENYETORAN PNBP",'Paste BPN'!$3:$3,0)),".","")),0)</f>
        <v>0</v>
      </c>
      <c r="J27" s="72" t="n">
        <f aca="false">G27+H27-I27+F27</f>
        <v>0</v>
      </c>
    </row>
    <row r="28" customFormat="false" ht="15.75" hidden="false" customHeight="false" outlineLevel="0" collapsed="false">
      <c r="A28" s="19" t="n">
        <v>20</v>
      </c>
      <c r="B28" s="19" t="s">
        <v>109</v>
      </c>
      <c r="C28" s="74" t="s">
        <v>110</v>
      </c>
      <c r="D28" s="70" t="n">
        <f aca="false">IFERROR(VALUE(SUBSTITUTE(INDEX('Paste BPN'!$A:$Z,MATCH($B28,'Paste BPN'!$C:$C,0),MATCH("KAS TUNAI",'Paste BPN'!$3:$3,0)),".","")),0)</f>
        <v>0</v>
      </c>
      <c r="E28" s="70" t="n">
        <f aca="false">IFERROR(VALUE(SUBSTITUTE(INDEX('Paste BPN'!$A:$Z,MATCH($B28,'Paste BPN'!$C:$C,0),MATCH("KAS BANK",'Paste BPN'!$3:$3,0)),".","")),0)</f>
        <v>0</v>
      </c>
      <c r="F28" s="72" t="n">
        <f aca="false">D28+E28</f>
        <v>0</v>
      </c>
      <c r="G28" s="70" t="n">
        <f aca="false">IFERROR(VALUE(SUBSTITUTE(INDEX('Paste BPN'!$A:$Z,MATCH($B28,'Paste BPN'!$C:$C,0),MATCH("SALDO AWAL PNBP",'Paste BPN'!$3:$3,0)),".","")),0)</f>
        <v>0</v>
      </c>
      <c r="H28" s="73" t="n">
        <f aca="false">IFERROR(VALUE(SUBSTITUTE(INDEX('Paste BPN'!$A:$Z,MATCH($B28,'Paste BPN'!$C:$C,0),MATCH("PENERIMAAN PNBP",'Paste BPN'!$3:$3,0)),".","")),0)</f>
        <v>0</v>
      </c>
      <c r="I28" s="70" t="n">
        <f aca="false">IFERROR(VALUE(SUBSTITUTE(INDEX('Paste BPN'!$A:$Z,MATCH($B28,'Paste BPN'!$C:$C,0),MATCH("PENYETORAN PNBP",'Paste BPN'!$3:$3,0)),".","")),0)</f>
        <v>0</v>
      </c>
      <c r="J28" s="72" t="n">
        <f aca="false">G28+H28-I28+F28</f>
        <v>0</v>
      </c>
    </row>
    <row r="29" customFormat="false" ht="29.25" hidden="false" customHeight="true" outlineLevel="0" collapsed="false">
      <c r="A29" s="79" t="n">
        <v>21</v>
      </c>
      <c r="B29" s="19" t="s">
        <v>125</v>
      </c>
      <c r="C29" s="74" t="s">
        <v>126</v>
      </c>
      <c r="D29" s="70" t="n">
        <f aca="false">IFERROR(VALUE(SUBSTITUTE(INDEX('Paste BPN'!$A:$Z,MATCH($B29,'Paste BPN'!$C:$C,0),MATCH("KAS TUNAI",'Paste BPN'!$3:$3,0)),".","")),0)</f>
        <v>0</v>
      </c>
      <c r="E29" s="70" t="n">
        <f aca="false">IFERROR(VALUE(SUBSTITUTE(INDEX('Paste BPN'!$A:$Z,MATCH($B29,'Paste BPN'!$C:$C,0),MATCH("KAS BANK",'Paste BPN'!$3:$3,0)),".","")),0)</f>
        <v>0</v>
      </c>
      <c r="F29" s="72" t="n">
        <f aca="false">D29+E29</f>
        <v>0</v>
      </c>
      <c r="G29" s="70" t="n">
        <f aca="false">IFERROR(VALUE(SUBSTITUTE(INDEX('Paste BPN'!$A:$Z,MATCH($B29,'Paste BPN'!$C:$C,0),MATCH("SALDO AWAL PNBP",'Paste BPN'!$3:$3,0)),".","")),0)</f>
        <v>0</v>
      </c>
      <c r="H29" s="73" t="n">
        <f aca="false">IFERROR(VALUE(SUBSTITUTE(INDEX('Paste BPN'!$A:$Z,MATCH($B29,'Paste BPN'!$C:$C,0),MATCH("PENERIMAAN PNBP",'Paste BPN'!$3:$3,0)),".","")),0)</f>
        <v>0</v>
      </c>
      <c r="I29" s="70" t="n">
        <f aca="false">IFERROR(VALUE(SUBSTITUTE(INDEX('Paste BPN'!$A:$Z,MATCH($B29,'Paste BPN'!$C:$C,0),MATCH("PENYETORAN PNBP",'Paste BPN'!$3:$3,0)),".","")),0)</f>
        <v>0</v>
      </c>
      <c r="J29" s="72" t="n">
        <f aca="false">G29+H29-I29+F29</f>
        <v>0</v>
      </c>
    </row>
    <row r="30" customFormat="false" ht="15.75" hidden="false" customHeight="false" outlineLevel="0" collapsed="false">
      <c r="A30" s="27"/>
      <c r="B30" s="75" t="s">
        <v>183</v>
      </c>
      <c r="C30" s="76" t="s">
        <v>184</v>
      </c>
      <c r="D30" s="77" t="n">
        <f aca="false">SUM(D31:D32)</f>
        <v>0</v>
      </c>
      <c r="E30" s="77" t="n">
        <f aca="false">SUM(E31:E32)</f>
        <v>0</v>
      </c>
      <c r="F30" s="77" t="n">
        <f aca="false">D30+E30</f>
        <v>0</v>
      </c>
      <c r="G30" s="77" t="n">
        <f aca="false">SUM(G31:G32)</f>
        <v>0</v>
      </c>
      <c r="H30" s="78" t="n">
        <f aca="false">SUM(H31+H32)</f>
        <v>0</v>
      </c>
      <c r="I30" s="77" t="n">
        <f aca="false">SUM(I31+I32)</f>
        <v>0</v>
      </c>
      <c r="J30" s="67" t="n">
        <f aca="false">G30+H30-I30+F30</f>
        <v>0</v>
      </c>
    </row>
    <row r="31" customFormat="false" ht="29.25" hidden="false" customHeight="true" outlineLevel="0" collapsed="false">
      <c r="A31" s="19" t="n">
        <v>22</v>
      </c>
      <c r="B31" s="19" t="s">
        <v>185</v>
      </c>
      <c r="C31" s="21" t="s">
        <v>186</v>
      </c>
      <c r="D31" s="70" t="n">
        <f aca="false">IFERROR(VALUE(SUBSTITUTE(INDEX('Paste BPN'!$A:$Z,MATCH($B31,'Paste BPN'!$C:$C,0),MATCH("KAS TUNAI",'Paste BPN'!$3:$3,0)),".","")),0)</f>
        <v>0</v>
      </c>
      <c r="E31" s="70" t="n">
        <f aca="false">IFERROR(VALUE(SUBSTITUTE(INDEX('Paste BPN'!$A:$Z,MATCH($B31,'Paste BPN'!$C:$C,0),MATCH("KAS BANK",'Paste BPN'!$3:$3,0)),".","")),0)</f>
        <v>0</v>
      </c>
      <c r="F31" s="72" t="n">
        <f aca="false">D31+E31</f>
        <v>0</v>
      </c>
      <c r="G31" s="70" t="n">
        <f aca="false">IFERROR(VALUE(SUBSTITUTE(INDEX('Paste BPN'!$A:$Z,MATCH($B31,'Paste BPN'!$C:$C,0),MATCH("SALDO AWAL PNBP",'Paste BPN'!$3:$3,0)),".","")),0)</f>
        <v>0</v>
      </c>
      <c r="H31" s="73" t="n">
        <f aca="false">IFERROR(VALUE(SUBSTITUTE(INDEX('Paste BPN'!$A:$Z,MATCH($B31,'Paste BPN'!$C:$C,0),MATCH("PENERIMAAN PNBP",'Paste BPN'!$3:$3,0)),".","")),0)</f>
        <v>0</v>
      </c>
      <c r="I31" s="70" t="n">
        <f aca="false">IFERROR(VALUE(SUBSTITUTE(INDEX('Paste BPN'!$A:$Z,MATCH($B31,'Paste BPN'!$C:$C,0),MATCH("PENYETORAN PNBP",'Paste BPN'!$3:$3,0)),".","")),0)</f>
        <v>0</v>
      </c>
      <c r="J31" s="72" t="n">
        <f aca="false">G31+H31-I31+F31</f>
        <v>0</v>
      </c>
    </row>
    <row r="32" customFormat="false" ht="33" hidden="false" customHeight="true" outlineLevel="0" collapsed="false">
      <c r="A32" s="19" t="n">
        <v>23</v>
      </c>
      <c r="B32" s="19" t="s">
        <v>187</v>
      </c>
      <c r="C32" s="21" t="s">
        <v>188</v>
      </c>
      <c r="D32" s="70" t="n">
        <f aca="false">IFERROR(VALUE(SUBSTITUTE(INDEX('Paste BPN'!$A:$Z,MATCH($B32,'Paste BPN'!$C:$C,0),MATCH("KAS TUNAI",'Paste BPN'!$3:$3,0)),".","")),0)</f>
        <v>0</v>
      </c>
      <c r="E32" s="70" t="n">
        <f aca="false">IFERROR(VALUE(SUBSTITUTE(INDEX('Paste BPN'!$A:$Z,MATCH($B32,'Paste BPN'!$C:$C,0),MATCH("KAS BANK",'Paste BPN'!$3:$3,0)),".","")),0)</f>
        <v>0</v>
      </c>
      <c r="F32" s="72" t="n">
        <f aca="false">D32+E32</f>
        <v>0</v>
      </c>
      <c r="G32" s="70" t="n">
        <f aca="false">IFERROR(VALUE(SUBSTITUTE(INDEX('Paste BPN'!$A:$Z,MATCH($B32,'Paste BPN'!$C:$C,0),MATCH("SALDO AWAL PNBP",'Paste BPN'!$3:$3,0)),".","")),0)</f>
        <v>0</v>
      </c>
      <c r="H32" s="73" t="n">
        <f aca="false">IFERROR(VALUE(SUBSTITUTE(INDEX('Paste BPN'!$A:$Z,MATCH($B32,'Paste BPN'!$C:$C,0),MATCH("PENERIMAAN PNBP",'Paste BPN'!$3:$3,0)),".","")),0)</f>
        <v>0</v>
      </c>
      <c r="I32" s="70" t="n">
        <f aca="false">IFERROR(VALUE(SUBSTITUTE(INDEX('Paste BPN'!$A:$Z,MATCH($B32,'Paste BPN'!$C:$C,0),MATCH("PENYETORAN PNBP",'Paste BPN'!$3:$3,0)),".","")),0)</f>
        <v>0</v>
      </c>
      <c r="J32" s="72" t="n">
        <f aca="false">G32+H32-I32+F32</f>
        <v>0</v>
      </c>
    </row>
    <row r="33" customFormat="false" ht="30" hidden="false" customHeight="true" outlineLevel="0" collapsed="false">
      <c r="A33" s="27"/>
      <c r="B33" s="75" t="s">
        <v>412</v>
      </c>
      <c r="C33" s="80" t="s">
        <v>413</v>
      </c>
      <c r="D33" s="81" t="n">
        <f aca="false">D34</f>
        <v>0</v>
      </c>
      <c r="E33" s="81" t="n">
        <f aca="false">E34</f>
        <v>0</v>
      </c>
      <c r="F33" s="81" t="n">
        <f aca="false">F34</f>
        <v>0</v>
      </c>
      <c r="G33" s="81" t="n">
        <f aca="false">G34</f>
        <v>0</v>
      </c>
      <c r="H33" s="82" t="n">
        <f aca="false">H34</f>
        <v>0</v>
      </c>
      <c r="I33" s="81" t="n">
        <f aca="false">I34</f>
        <v>0</v>
      </c>
      <c r="J33" s="83" t="n">
        <f aca="false">G33+H33-I33+F33</f>
        <v>0</v>
      </c>
    </row>
    <row r="34" customFormat="false" ht="29.25" hidden="false" customHeight="true" outlineLevel="0" collapsed="false">
      <c r="A34" s="19" t="n">
        <v>24</v>
      </c>
      <c r="B34" s="19" t="s">
        <v>255</v>
      </c>
      <c r="C34" s="74" t="s">
        <v>256</v>
      </c>
      <c r="D34" s="84" t="n">
        <f aca="false">IFERROR(VALUE(SUBSTITUTE(INDEX('Paste BPN'!$A:$Z,MATCH($B34,'Paste BPN'!$C:$C,0),MATCH("KAS TUNAI",'Paste BPN'!$3:$3,0)),".","")),0)</f>
        <v>0</v>
      </c>
      <c r="E34" s="84" t="n">
        <f aca="false">IFERROR(VALUE(SUBSTITUTE(INDEX('Paste BPN'!$A:$Z,MATCH($B34,'Paste BPN'!$C:$C,0),MATCH("KAS BANK",'Paste BPN'!$3:$3,0)),".","")),0)</f>
        <v>0</v>
      </c>
      <c r="F34" s="85" t="n">
        <f aca="false">D34+E34</f>
        <v>0</v>
      </c>
      <c r="G34" s="84" t="n">
        <f aca="false">IFERROR(VALUE(SUBSTITUTE(INDEX('Paste BPN'!$A:$Z,MATCH($B34,'Paste BPN'!$C:$C,0),MATCH("SALDO AWAL PNBP",'Paste BPN'!$3:$3,0)),".","")),0)</f>
        <v>0</v>
      </c>
      <c r="H34" s="86" t="n">
        <f aca="false">IFERROR(VALUE(SUBSTITUTE(INDEX('Paste BPN'!$A:$Z,MATCH($B34,'Paste BPN'!$C:$C,0),MATCH("PENERIMAAN PNBP",'Paste BPN'!$3:$3,0)),".","")),0)</f>
        <v>0</v>
      </c>
      <c r="I34" s="84" t="n">
        <f aca="false">IFERROR(VALUE(SUBSTITUTE(INDEX('Paste BPN'!$A:$Z,MATCH($B34,'Paste BPN'!$C:$C,0),MATCH("PENYETORAN PNBP",'Paste BPN'!$3:$3,0)),".","")),0)</f>
        <v>0</v>
      </c>
      <c r="J34" s="85" t="n">
        <f aca="false">G34+H34-I34+F34</f>
        <v>0</v>
      </c>
    </row>
    <row r="35" customFormat="false" ht="15.75" hidden="false" customHeight="false" outlineLevel="0" collapsed="false">
      <c r="A35" s="27"/>
      <c r="B35" s="75" t="s">
        <v>362</v>
      </c>
      <c r="C35" s="76" t="s">
        <v>363</v>
      </c>
      <c r="D35" s="77" t="n">
        <f aca="false">D36+D37</f>
        <v>0</v>
      </c>
      <c r="E35" s="77" t="n">
        <f aca="false">E36+E37</f>
        <v>0</v>
      </c>
      <c r="F35" s="67" t="n">
        <f aca="false">D35+E35</f>
        <v>0</v>
      </c>
      <c r="G35" s="77" t="n">
        <f aca="false">G36+G37</f>
        <v>0</v>
      </c>
      <c r="H35" s="78" t="n">
        <f aca="false">H36+H37</f>
        <v>0</v>
      </c>
      <c r="I35" s="78" t="n">
        <f aca="false">I36+I37</f>
        <v>0</v>
      </c>
      <c r="J35" s="83" t="n">
        <f aca="false">G35+H35-I35+F35</f>
        <v>0</v>
      </c>
    </row>
    <row r="36" customFormat="false" ht="29.25" hidden="false" customHeight="true" outlineLevel="0" collapsed="false">
      <c r="A36" s="19" t="n">
        <v>25</v>
      </c>
      <c r="B36" s="19" t="s">
        <v>364</v>
      </c>
      <c r="C36" s="74" t="s">
        <v>365</v>
      </c>
      <c r="D36" s="70" t="n">
        <f aca="false">IFERROR(VALUE(SUBSTITUTE(INDEX('Paste BPN'!$A:$Z,MATCH($B36,'Paste BPN'!$C:$C,0),MATCH("KAS TUNAI",'Paste BPN'!$3:$3,0)),".","")),0)</f>
        <v>0</v>
      </c>
      <c r="E36" s="70" t="n">
        <f aca="false">IFERROR(VALUE(SUBSTITUTE(INDEX('Paste BPN'!$A:$Z,MATCH($B36,'Paste BPN'!$C:$C,0),MATCH("KAS BANK",'Paste BPN'!$3:$3,0)),".","")),0)</f>
        <v>0</v>
      </c>
      <c r="F36" s="72" t="n">
        <f aca="false">D36+E36</f>
        <v>0</v>
      </c>
      <c r="G36" s="70" t="n">
        <f aca="false">IFERROR(VALUE(SUBSTITUTE(INDEX('Paste BPN'!$A:$Z,MATCH($B36,'Paste BPN'!$C:$C,0),MATCH("SALDO AWAL PNBP",'Paste BPN'!$3:$3,0)),".","")),0)</f>
        <v>0</v>
      </c>
      <c r="H36" s="73" t="n">
        <f aca="false">IFERROR(VALUE(SUBSTITUTE(INDEX('Paste BPN'!$A:$Z,MATCH($B36,'Paste BPN'!$C:$C,0),MATCH("PENERIMAAN PNBP",'Paste BPN'!$3:$3,0)),".","")),0)</f>
        <v>0</v>
      </c>
      <c r="I36" s="70" t="n">
        <f aca="false">IFERROR(VALUE(SUBSTITUTE(INDEX('Paste BPN'!$A:$Z,MATCH($B36,'Paste BPN'!$C:$C,0),MATCH("PENYETORAN PNBP",'Paste BPN'!$3:$3,0)),".","")),0)</f>
        <v>0</v>
      </c>
      <c r="J36" s="72" t="n">
        <f aca="false">G36+H36-I36+F36</f>
        <v>0</v>
      </c>
    </row>
    <row r="37" customFormat="false" ht="15.75" hidden="false" customHeight="false" outlineLevel="0" collapsed="false">
      <c r="A37" s="19" t="n">
        <v>26</v>
      </c>
      <c r="B37" s="19" t="s">
        <v>366</v>
      </c>
      <c r="C37" s="74" t="s">
        <v>367</v>
      </c>
      <c r="D37" s="70" t="n">
        <f aca="false">IFERROR(VALUE(SUBSTITUTE(INDEX('Paste BPN'!$A:$Z,MATCH($B37,'Paste BPN'!$C:$C,0),MATCH("KAS TUNAI",'Paste BPN'!$3:$3,0)),".","")),0)</f>
        <v>0</v>
      </c>
      <c r="E37" s="70" t="n">
        <f aca="false">IFERROR(VALUE(SUBSTITUTE(INDEX('Paste BPN'!$A:$Z,MATCH($B37,'Paste BPN'!$C:$C,0),MATCH("KAS BANK",'Paste BPN'!$3:$3,0)),".","")),0)</f>
        <v>0</v>
      </c>
      <c r="F37" s="72" t="n">
        <f aca="false">D37+E37</f>
        <v>0</v>
      </c>
      <c r="G37" s="70" t="n">
        <f aca="false">IFERROR(VALUE(SUBSTITUTE(INDEX('Paste BPN'!$A:$Z,MATCH($B37,'Paste BPN'!$C:$C,0),MATCH("SALDO AWAL PNBP",'Paste BPN'!$3:$3,0)),".","")),0)</f>
        <v>0</v>
      </c>
      <c r="H37" s="73" t="n">
        <f aca="false">IFERROR(VALUE(SUBSTITUTE(INDEX('Paste BPN'!$A:$Z,MATCH($B37,'Paste BPN'!$C:$C,0),MATCH("PENERIMAAN PNBP",'Paste BPN'!$3:$3,0)),".","")),0)</f>
        <v>0</v>
      </c>
      <c r="I37" s="70" t="n">
        <f aca="false">IFERROR(VALUE(SUBSTITUTE(INDEX('Paste BPN'!$A:$Z,MATCH($B37,'Paste BPN'!$C:$C,0),MATCH("PENYETORAN PNBP",'Paste BPN'!$3:$3,0)),".","")),0)</f>
        <v>0</v>
      </c>
      <c r="J37" s="72" t="n">
        <f aca="false">G37+H37-I37+F37</f>
        <v>0</v>
      </c>
    </row>
    <row r="38" s="64" customFormat="true" ht="15.75" hidden="false" customHeight="false" outlineLevel="0" collapsed="false">
      <c r="A38" s="60" t="s">
        <v>29</v>
      </c>
      <c r="B38" s="60"/>
      <c r="C38" s="60"/>
      <c r="D38" s="87" t="n">
        <f aca="false">D6+D21+D26+D30+D33+D35</f>
        <v>0</v>
      </c>
      <c r="E38" s="87" t="n">
        <f aca="false">E6+E21+E26+E30+E33+E35</f>
        <v>0</v>
      </c>
      <c r="F38" s="87" t="n">
        <f aca="false">F6+F21+F26+F30+F33+F35</f>
        <v>0</v>
      </c>
      <c r="G38" s="87" t="n">
        <f aca="false">G6+G21+G26+G30+G33+G35</f>
        <v>0</v>
      </c>
      <c r="H38" s="87" t="n">
        <f aca="false">H6+H21+H26+H30+H33+H35</f>
        <v>0</v>
      </c>
      <c r="I38" s="87" t="n">
        <f aca="false">I6+I21+I26+I30+I33+I35</f>
        <v>0</v>
      </c>
      <c r="J38" s="88" t="n">
        <f aca="false">G38+H38-I38+F38</f>
        <v>0</v>
      </c>
    </row>
    <row r="39" customFormat="false" ht="15.75" hidden="false" customHeight="false" outlineLevel="0" collapsed="false">
      <c r="E39" s="1" t="str">
        <f aca="false">IF(E38='Paste BPN'!H28,"ok","hasil salah")</f>
        <v>ok</v>
      </c>
      <c r="G39" s="1" t="str">
        <f aca="false">IF(G38='Paste BPN'!I28,"ok","hasil salah")</f>
        <v>ok</v>
      </c>
      <c r="H39" s="1" t="str">
        <f aca="false">IF(H38='Paste BPN'!E28,"ok","hasil salah")</f>
        <v>ok</v>
      </c>
      <c r="I39" s="1" t="str">
        <f aca="false">IF(I38='Paste BPN'!F28,"ok","hasil salah")</f>
        <v>ok</v>
      </c>
      <c r="J39" s="1" t="str">
        <f aca="false">IF(J38='Paste BPN'!G28,"ok","hasil salah")</f>
        <v>ok</v>
      </c>
    </row>
    <row r="41" customFormat="false" ht="15.75" hidden="false" customHeight="false" outlineLevel="0" collapsed="false">
      <c r="H41" s="89"/>
      <c r="I41" s="89" t="n">
        <f aca="false">SUM(I38-H38)</f>
        <v>0</v>
      </c>
    </row>
    <row r="42" customFormat="false" ht="15.75" hidden="false" customHeight="false" outlineLevel="0" collapsed="false">
      <c r="H42" s="89"/>
      <c r="I42" s="89"/>
    </row>
  </sheetData>
  <mergeCells count="7">
    <mergeCell ref="A1:J1"/>
    <mergeCell ref="A2:J2"/>
    <mergeCell ref="A4:A5"/>
    <mergeCell ref="C4:C5"/>
    <mergeCell ref="D4:F4"/>
    <mergeCell ref="G4:J4"/>
    <mergeCell ref="A38:C38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R33" activeCellId="0" sqref="R33"/>
    </sheetView>
  </sheetViews>
  <sheetFormatPr defaultColWidth="8.62109375" defaultRowHeight="15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6" width="45"/>
    <col collapsed="false" customWidth="true" hidden="false" outlineLevel="0" max="5" min="5" style="7" width="12"/>
    <col collapsed="false" customWidth="true" hidden="false" outlineLevel="0" max="6" min="6" style="7" width="14"/>
    <col collapsed="false" customWidth="true" hidden="false" outlineLevel="0" max="7" min="7" style="7" width="16"/>
    <col collapsed="false" customWidth="true" hidden="false" outlineLevel="0" max="8" min="8" style="7" width="10"/>
    <col collapsed="false" customWidth="true" hidden="false" outlineLevel="0" max="9" min="9" style="7" width="12"/>
    <col collapsed="false" customWidth="true" hidden="false" outlineLevel="0" max="10" min="10" style="7" width="15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16" min="14" style="1" width="15"/>
  </cols>
  <sheetData>
    <row r="1" customFormat="false" ht="15.75" hidden="false" customHeight="false" outlineLevel="0" collapsed="false">
      <c r="A1" s="47" t="s">
        <v>414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50"/>
      <c r="R1" s="50"/>
    </row>
    <row r="2" customFormat="false" ht="15.75" hidden="false" customHeight="false" outlineLevel="0" collapsed="false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customFormat="false" ht="23.85" hidden="false" customHeight="false" outlineLevel="0" collapsed="false">
      <c r="A3" s="51" t="s">
        <v>19</v>
      </c>
      <c r="B3" s="51" t="s">
        <v>394</v>
      </c>
      <c r="C3" s="51" t="s">
        <v>395</v>
      </c>
      <c r="D3" s="51" t="s">
        <v>21</v>
      </c>
      <c r="E3" s="51" t="s">
        <v>396</v>
      </c>
      <c r="F3" s="51" t="s">
        <v>397</v>
      </c>
      <c r="G3" s="51" t="s">
        <v>398</v>
      </c>
      <c r="H3" s="51" t="s">
        <v>399</v>
      </c>
      <c r="I3" s="51" t="s">
        <v>400</v>
      </c>
      <c r="J3" s="51" t="s">
        <v>407</v>
      </c>
      <c r="K3" s="51" t="s">
        <v>408</v>
      </c>
      <c r="L3" s="51" t="s">
        <v>29</v>
      </c>
      <c r="M3" s="51" t="s">
        <v>415</v>
      </c>
      <c r="N3" s="51" t="s">
        <v>416</v>
      </c>
      <c r="O3" s="51" t="s">
        <v>417</v>
      </c>
      <c r="P3" s="51" t="s">
        <v>418</v>
      </c>
      <c r="Q3" s="50"/>
      <c r="R3" s="50"/>
    </row>
    <row r="4" customFormat="false" ht="15.75" hidden="false" customHeight="fals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customFormat="false" ht="15.75" hidden="false" customHeight="false" outlineLevel="0" collapsed="false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customFormat="false" ht="15.75" hidden="false" customHeight="false" outlineLevel="0" collapsed="false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</row>
    <row r="7" customFormat="false" ht="15.75" hidden="false" customHeight="false" outlineLevel="0" collapsed="false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</row>
    <row r="8" customFormat="false" ht="15.75" hidden="false" customHeight="false" outlineLevel="0" collapsed="false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customFormat="false" ht="15.75" hidden="false" customHeight="false" outlineLevel="0" collapsed="false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</row>
    <row r="10" customFormat="false" ht="15.75" hidden="false" customHeight="false" outlineLevel="0" collapsed="false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customFormat="false" ht="15.75" hidden="false" customHeight="false" outlineLevel="0" collapsed="false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customFormat="false" ht="15.75" hidden="false" customHeight="fals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customFormat="false" ht="15.75" hidden="false" customHeight="false" outlineLevel="0" collapsed="false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customFormat="false" ht="15.75" hidden="false" customHeight="fals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</row>
    <row r="15" customFormat="false" ht="15.75" hidden="false" customHeight="fals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customFormat="false" ht="15.75" hidden="false" customHeight="fals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</row>
    <row r="17" customFormat="false" ht="15.75" hidden="false" customHeight="false" outlineLevel="0" collapsed="false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8" customFormat="false" ht="15.75" hidden="false" customHeight="fals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customFormat="false" ht="15.75" hidden="false" customHeight="fals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customFormat="false" ht="15.75" hidden="false" customHeight="fals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customFormat="false" ht="15.75" hidden="false" customHeight="fals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customFormat="false" ht="15.75" hidden="false" customHeight="fals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</row>
    <row r="23" customFormat="false" ht="15.75" hidden="false" customHeight="fals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</row>
    <row r="24" customFormat="false" ht="15.75" hidden="false" customHeight="fals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</row>
    <row r="25" customFormat="false" ht="15.75" hidden="false" customHeight="fals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customFormat="false" ht="15.75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customFormat="false" ht="15.75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customFormat="false" ht="15.75" hidden="false" customHeight="fals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customFormat="false" ht="15.75" hidden="false" customHeight="fals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customFormat="false" ht="15.75" hidden="false" customHeight="false" outlineLevel="0" collapsed="false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0"/>
      <c r="R30" s="50"/>
    </row>
    <row r="31" customFormat="false" ht="15.75" hidden="false" customHeight="fals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customFormat="false" ht="15.75" hidden="false" customHeight="fals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customFormat="false" ht="15.75" hidden="false" customHeight="fals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customFormat="false" ht="15.75" hidden="false" customHeight="fals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</row>
    <row r="35" customFormat="false" ht="15.7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CS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9" defaultRowHeight="14.25" customHeight="true" zeroHeight="false" outlineLevelRow="0" outlineLevelCol="0"/>
  <cols>
    <col collapsed="false" customWidth="true" hidden="false" outlineLevel="0" max="1" min="1" style="58" width="4.25"/>
    <col collapsed="false" customWidth="true" hidden="false" outlineLevel="0" max="2" min="2" style="58" width="8.5"/>
    <col collapsed="false" customWidth="true" hidden="false" outlineLevel="0" max="3" min="3" style="59" width="26.63"/>
    <col collapsed="false" customWidth="true" hidden="false" outlineLevel="0" max="4" min="4" style="58" width="11.12"/>
    <col collapsed="false" customWidth="true" hidden="false" outlineLevel="0" max="5" min="5" style="58" width="12.37"/>
    <col collapsed="false" customWidth="true" hidden="false" outlineLevel="0" max="6" min="6" style="58" width="15.75"/>
    <col collapsed="false" customWidth="true" hidden="false" outlineLevel="0" max="7" min="7" style="58" width="6.75"/>
    <col collapsed="false" customWidth="true" hidden="false" outlineLevel="0" max="8" min="8" style="58" width="14.75"/>
    <col collapsed="false" customWidth="true" hidden="false" outlineLevel="0" max="9" min="9" style="58" width="8.12"/>
    <col collapsed="false" customWidth="true" hidden="false" outlineLevel="0" max="10" min="10" style="58" width="10.75"/>
    <col collapsed="false" customWidth="true" hidden="false" outlineLevel="0" max="11" min="11" style="58" width="6.63"/>
    <col collapsed="false" customWidth="true" hidden="false" outlineLevel="0" max="13" min="12" style="58" width="16"/>
    <col collapsed="false" customWidth="true" hidden="false" outlineLevel="0" max="14" min="14" style="58" width="11.12"/>
    <col collapsed="false" customWidth="true" hidden="false" outlineLevel="0" max="15" min="15" style="58" width="11.88"/>
    <col collapsed="false" customWidth="true" hidden="false" outlineLevel="0" max="16" min="16" style="58" width="13.37"/>
    <col collapsed="false" customWidth="true" hidden="false" outlineLevel="0" max="17" min="17" style="58" width="15.75"/>
    <col collapsed="false" customWidth="true" hidden="false" outlineLevel="0" max="18" min="18" style="58" width="9.88"/>
    <col collapsed="false" customWidth="true" hidden="false" outlineLevel="0" max="19" min="19" style="58" width="15.75"/>
    <col collapsed="false" customWidth="true" hidden="false" outlineLevel="0" max="20" min="20" style="58" width="7.25"/>
    <col collapsed="false" customWidth="true" hidden="false" outlineLevel="0" max="21" min="21" style="58" width="9.88"/>
    <col collapsed="false" customWidth="true" hidden="false" outlineLevel="0" max="22" min="22" style="58" width="8.5"/>
    <col collapsed="false" customWidth="false" hidden="false" outlineLevel="0" max="16384" min="23" style="58" width="9"/>
  </cols>
  <sheetData>
    <row r="1" customFormat="false" ht="15" hidden="false" customHeight="true" outlineLevel="0" collapsed="false">
      <c r="B1" s="57"/>
      <c r="C1" s="90"/>
      <c r="D1" s="57"/>
      <c r="E1" s="57"/>
      <c r="F1" s="57"/>
      <c r="G1" s="57"/>
      <c r="H1" s="57"/>
      <c r="I1" s="56" t="s">
        <v>419</v>
      </c>
      <c r="J1" s="56"/>
      <c r="K1" s="56"/>
      <c r="L1" s="56"/>
      <c r="M1" s="56"/>
      <c r="N1" s="56"/>
    </row>
    <row r="2" customFormat="false" ht="15" hidden="false" customHeight="true" outlineLevel="0" collapsed="false">
      <c r="A2" s="57"/>
      <c r="B2" s="57"/>
      <c r="C2" s="90"/>
      <c r="D2" s="57"/>
      <c r="E2" s="57"/>
      <c r="F2" s="57"/>
      <c r="G2" s="57"/>
      <c r="H2" s="57"/>
      <c r="I2" s="56" t="str">
        <f aca="false">'Report BPG'!M2</f>
        <v>BULAN JUNI TAHUN 2026</v>
      </c>
      <c r="J2" s="56"/>
      <c r="K2" s="56"/>
      <c r="L2" s="56"/>
      <c r="M2" s="56"/>
      <c r="N2" s="56"/>
    </row>
    <row r="3" customFormat="false" ht="15" hidden="false" customHeight="true" outlineLevel="0" collapsed="false">
      <c r="A3" s="57" t="s">
        <v>18</v>
      </c>
    </row>
    <row r="4" s="57" customFormat="true" ht="15" hidden="false" customHeight="true" outlineLevel="0" collapsed="false">
      <c r="A4" s="10" t="s">
        <v>19</v>
      </c>
      <c r="B4" s="11" t="s">
        <v>20</v>
      </c>
      <c r="C4" s="11" t="s">
        <v>21</v>
      </c>
      <c r="D4" s="10" t="s">
        <v>22</v>
      </c>
      <c r="E4" s="10"/>
      <c r="F4" s="10"/>
      <c r="G4" s="10"/>
      <c r="H4" s="10"/>
      <c r="I4" s="10"/>
      <c r="J4" s="10"/>
      <c r="K4" s="10"/>
      <c r="L4" s="10"/>
      <c r="M4" s="10"/>
      <c r="N4" s="10" t="s">
        <v>23</v>
      </c>
      <c r="O4" s="10"/>
      <c r="P4" s="10"/>
      <c r="Q4" s="10" t="s">
        <v>420</v>
      </c>
      <c r="R4" s="10"/>
      <c r="S4" s="10"/>
      <c r="T4" s="10" t="s">
        <v>421</v>
      </c>
      <c r="U4" s="10"/>
      <c r="V4" s="10"/>
    </row>
    <row r="5" s="57" customFormat="true" ht="15" hidden="false" customHeight="true" outlineLevel="0" collapsed="false">
      <c r="A5" s="10"/>
      <c r="B5" s="10"/>
      <c r="C5" s="10"/>
      <c r="D5" s="10" t="s">
        <v>24</v>
      </c>
      <c r="E5" s="10" t="s">
        <v>422</v>
      </c>
      <c r="F5" s="10" t="s">
        <v>423</v>
      </c>
      <c r="G5" s="10" t="s">
        <v>423</v>
      </c>
      <c r="H5" s="10" t="s">
        <v>423</v>
      </c>
      <c r="I5" s="10" t="s">
        <v>423</v>
      </c>
      <c r="J5" s="10" t="s">
        <v>424</v>
      </c>
      <c r="K5" s="10" t="s">
        <v>423</v>
      </c>
      <c r="L5" s="10" t="s">
        <v>423</v>
      </c>
      <c r="M5" s="10" t="s">
        <v>29</v>
      </c>
      <c r="N5" s="10" t="s">
        <v>30</v>
      </c>
      <c r="O5" s="10" t="s">
        <v>31</v>
      </c>
      <c r="P5" s="10" t="s">
        <v>29</v>
      </c>
      <c r="Q5" s="10" t="s">
        <v>30</v>
      </c>
      <c r="R5" s="10" t="s">
        <v>31</v>
      </c>
      <c r="S5" s="10" t="s">
        <v>29</v>
      </c>
      <c r="T5" s="10" t="s">
        <v>30</v>
      </c>
      <c r="U5" s="10" t="s">
        <v>31</v>
      </c>
      <c r="V5" s="10" t="s">
        <v>29</v>
      </c>
    </row>
    <row r="6" s="57" customFormat="true" ht="15" hidden="false" customHeight="true" outlineLevel="0" collapsed="false">
      <c r="A6" s="10"/>
      <c r="B6" s="10"/>
      <c r="C6" s="10"/>
      <c r="D6" s="10"/>
      <c r="E6" s="10" t="s">
        <v>425</v>
      </c>
      <c r="F6" s="10" t="s">
        <v>420</v>
      </c>
      <c r="G6" s="10" t="s">
        <v>426</v>
      </c>
      <c r="H6" s="10" t="s">
        <v>427</v>
      </c>
      <c r="I6" s="10" t="s">
        <v>428</v>
      </c>
      <c r="J6" s="10" t="s">
        <v>429</v>
      </c>
      <c r="K6" s="10" t="s">
        <v>421</v>
      </c>
      <c r="L6" s="10" t="s">
        <v>430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customFormat="false" ht="17.25" hidden="false" customHeight="true" outlineLevel="0" collapsed="false">
      <c r="A7" s="15"/>
      <c r="B7" s="16" t="s">
        <v>75</v>
      </c>
      <c r="C7" s="17" t="s">
        <v>76</v>
      </c>
      <c r="D7" s="83" t="n">
        <f aca="false">D8+D9</f>
        <v>0</v>
      </c>
      <c r="E7" s="83" t="n">
        <f aca="false">E8+E9</f>
        <v>0</v>
      </c>
      <c r="F7" s="83" t="n">
        <f aca="false">F8+F9</f>
        <v>0</v>
      </c>
      <c r="G7" s="83" t="n">
        <f aca="false">G8+G9</f>
        <v>0</v>
      </c>
      <c r="H7" s="83" t="n">
        <f aca="false">H8+H9</f>
        <v>0</v>
      </c>
      <c r="I7" s="83" t="n">
        <f aca="false">I8+I9</f>
        <v>0</v>
      </c>
      <c r="J7" s="83" t="n">
        <f aca="false">J8+J9</f>
        <v>0</v>
      </c>
      <c r="K7" s="83" t="n">
        <f aca="false">K8+K9</f>
        <v>0</v>
      </c>
      <c r="L7" s="83" t="n">
        <f aca="false">L8+L9</f>
        <v>0</v>
      </c>
      <c r="M7" s="83" t="n">
        <f aca="false">M8+M9</f>
        <v>0</v>
      </c>
      <c r="N7" s="83" t="n">
        <f aca="false">N8+N9</f>
        <v>0</v>
      </c>
      <c r="O7" s="83" t="n">
        <f aca="false">O8+O9</f>
        <v>0</v>
      </c>
      <c r="P7" s="83" t="n">
        <f aca="false">P8+P9</f>
        <v>0</v>
      </c>
      <c r="Q7" s="83" t="n">
        <f aca="false">Q8+Q9</f>
        <v>0</v>
      </c>
      <c r="R7" s="83" t="n">
        <f aca="false">R8+R9</f>
        <v>0</v>
      </c>
      <c r="S7" s="83" t="n">
        <f aca="false">S8+S9</f>
        <v>0</v>
      </c>
      <c r="T7" s="83" t="n">
        <f aca="false">T8+T9</f>
        <v>0</v>
      </c>
      <c r="U7" s="83" t="n">
        <f aca="false">U8+U9</f>
        <v>0</v>
      </c>
      <c r="V7" s="83" t="n">
        <f aca="false">V8+V9</f>
        <v>0</v>
      </c>
    </row>
    <row r="8" customFormat="false" ht="17.25" hidden="false" customHeight="true" outlineLevel="0" collapsed="false">
      <c r="A8" s="91" t="n">
        <v>1</v>
      </c>
      <c r="B8" s="92" t="s">
        <v>431</v>
      </c>
      <c r="C8" s="21" t="s">
        <v>432</v>
      </c>
      <c r="D8" s="93" t="n">
        <f aca="false">IFERROR(VALUE(SUBSTITUTE(INDEX('Paste BLU'!$A:$Z,MATCH($B8,'Paste BLU'!$C:$C,0),MATCH("BP UP",'Paste BLU'!$3:$3,0)),".","")),0)</f>
        <v>0</v>
      </c>
      <c r="E8" s="93" t="n">
        <f aca="false">IFERROR(VALUE(SUBSTITUTE(INDEX('Paste BLU'!$A:$Z,MATCH($B8,'Paste BLU'!$C:$C,0),MATCH("BP LS BENDAHARA",'Paste BLU'!$3:$3,0)),".","")),0)</f>
        <v>0</v>
      </c>
      <c r="F8" s="93" t="n">
        <f aca="false">IFERROR(VALUE(SUBSTITUTE(INDEX('Paste BLU'!$A:$Z,MATCH($B8,'Paste BLU'!$C:$C,0),MATCH("BP PENDAPATAN",'Paste BLU'!$3:$3,0)),".","")),0)</f>
        <v>0</v>
      </c>
      <c r="G8" s="93" t="n">
        <f aca="false">IFERROR(VALUE(SUBSTITUTE(INDEX('Paste BLU'!$A:$Z,MATCH($B8,'Paste BLU'!$C:$C,0),MATCH("BP PAJAK",'Paste BLU'!$3:$3,0)),".","")),0)</f>
        <v>0</v>
      </c>
      <c r="H8" s="93" t="n">
        <f aca="false">IFERROR(VALUE(SUBSTITUTE(INDEX('Paste BLU'!$A:$Z,MATCH($B8,'Paste BLU'!$C:$C,0),MATCH("BP UANG PIHAK KETIGA",'Paste BLU'!$3:$3,0)),".","")),0)</f>
        <v>0</v>
      </c>
      <c r="I8" s="93" t="n">
        <f aca="false">IFERROR(VALUE(SUBSTITUTE(INDEX('Paste BLU'!$A:$Z,MATCH($B8,'Paste BLU'!$C:$C,0),MATCH("BP UANG TITIPAN",'Paste BLU'!$3:$3,0)),".","")),0)</f>
        <v>0</v>
      </c>
      <c r="J8" s="93" t="n">
        <f aca="false">IFERROR(VALUE(SUBSTITUTE(INDEX('Paste BLU'!$A:$Z,MATCH($B8,'Paste BLU'!$C:$C,0),MATCH("BP DANA BERGULIR",'Paste BLU'!$3:$3,0)),".","")),0)</f>
        <v>0</v>
      </c>
      <c r="K8" s="93" t="n">
        <f aca="false">IFERROR(VALUE(SUBSTITUTE(INDEX('Paste BLU'!$A:$Z,MATCH($B8,'Paste BLU'!$C:$C,0),MATCH("BP HIBAH/DONASI/SUMBANGAN",'Paste BLU'!$3:$3,0)),".","")),0)</f>
        <v>0</v>
      </c>
      <c r="L8" s="93" t="n">
        <f aca="false">IFERROR(VALUE(SUBSTITUTE(INDEX('Paste BLU'!$A:$Z,MATCH($B8,'Paste BLU'!$C:$C,0),MATCH("BP LAIN-LAIN",'Paste BLU'!$3:$3,0)),".","")),0)</f>
        <v>0</v>
      </c>
      <c r="M8" s="85" t="n">
        <f aca="false">D8+E8+F8+G8+H8+I8+J8+K8+L8</f>
        <v>0</v>
      </c>
      <c r="N8" s="93" t="n">
        <f aca="false">IFERROR(VALUE(SUBSTITUTE(INDEX('Paste BLU'!$A:$Z,MATCH($B8,'Paste BLU'!$C:$C,0),MATCH("SALDO UP",'Paste BLU'!$3:$3,0)),".","")),0)</f>
        <v>0</v>
      </c>
      <c r="O8" s="93" t="n">
        <f aca="false">IFERROR(VALUE(SUBSTITUTE(INDEX('Paste BLU'!$A:$Z,MATCH($B8,'Paste BLU'!$C:$C,0),MATCH("KUITANSI BELUM GU",'Paste BLU'!$3:$3,0)),".","")),0)</f>
        <v>0</v>
      </c>
      <c r="P8" s="85" t="n">
        <f aca="false">N8+O8</f>
        <v>0</v>
      </c>
      <c r="Q8" s="93" t="n">
        <f aca="false">IFERROR(VALUE(SUBSTITUTE(INDEX('Paste BLU'!$A:$Z,MATCH($B8,'Paste BLU'!$C:$C,0),MATCH("SALDO PEND",'Paste BLU'!$3:$3,0)),".","")),0)</f>
        <v>0</v>
      </c>
      <c r="R8" s="93" t="n">
        <f aca="false">IFERROR(VALUE(SUBSTITUTE(INDEX('Paste BLU'!$A:$Z,MATCH($B8,'Paste BLU'!$C:$C,0),MATCH("PENDAPATAN BELUM DISAHKAN",'Paste BLU'!$3:$3,0)),".","")),0)</f>
        <v>0</v>
      </c>
      <c r="S8" s="85" t="n">
        <f aca="false">Q8+R8</f>
        <v>0</v>
      </c>
      <c r="T8" s="93" t="n">
        <f aca="false">IFERROR(VALUE(SUBSTITUTE(INDEX('Paste BLU'!$A:$Z,MATCH($B8,'Paste BLU'!$C:$C,0),MATCH("SALDO HIBAH",'Paste BLU'!$3:$3,0)),".","")),0)</f>
        <v>0</v>
      </c>
      <c r="U8" s="93" t="n">
        <f aca="false">IFERROR(VALUE(SUBSTITUTE(INDEX('Paste BLU'!$A:$Z,MATCH($B8,'Paste BLU'!$C:$C,0),MATCH("HIBAH/DONASI/SUMBANG BELUM DISAHKAN",'Paste BLU'!$3:$3,0)),".","")),0)</f>
        <v>0</v>
      </c>
      <c r="V8" s="85" t="n">
        <f aca="false">T8+U8</f>
        <v>0</v>
      </c>
    </row>
    <row r="9" customFormat="false" ht="33" hidden="false" customHeight="true" outlineLevel="0" collapsed="false">
      <c r="A9" s="19" t="n">
        <v>2</v>
      </c>
      <c r="B9" s="19" t="s">
        <v>433</v>
      </c>
      <c r="C9" s="21" t="s">
        <v>434</v>
      </c>
      <c r="D9" s="93" t="n">
        <f aca="false">IFERROR(VALUE(SUBSTITUTE(INDEX('Paste BLU'!$A:$Z,MATCH($B9,'Paste BLU'!$C:$C,0),MATCH("BP UP",'Paste BLU'!$3:$3,0)),".","")),0)</f>
        <v>0</v>
      </c>
      <c r="E9" s="93" t="n">
        <f aca="false">IFERROR(VALUE(SUBSTITUTE(INDEX('Paste BLU'!$A:$Z,MATCH($B9,'Paste BLU'!$C:$C,0),MATCH("BP LS BENDAHARA",'Paste BLU'!$3:$3,0)),".","")),0)</f>
        <v>0</v>
      </c>
      <c r="F9" s="93" t="n">
        <f aca="false">IFERROR(VALUE(SUBSTITUTE(INDEX('Paste BLU'!$A:$Z,MATCH($B9,'Paste BLU'!$C:$C,0),MATCH("BP PENDAPATAN",'Paste BLU'!$3:$3,0)),".","")),0)</f>
        <v>0</v>
      </c>
      <c r="G9" s="93" t="n">
        <f aca="false">IFERROR(VALUE(SUBSTITUTE(INDEX('Paste BLU'!$A:$Z,MATCH($B9,'Paste BLU'!$C:$C,0),MATCH("BP PAJAK",'Paste BLU'!$3:$3,0)),".","")),0)</f>
        <v>0</v>
      </c>
      <c r="H9" s="93" t="n">
        <f aca="false">IFERROR(VALUE(SUBSTITUTE(INDEX('Paste BLU'!$A:$Z,MATCH($B9,'Paste BLU'!$C:$C,0),MATCH("BP UANG PIHAK KETIGA",'Paste BLU'!$3:$3,0)),".","")),0)</f>
        <v>0</v>
      </c>
      <c r="I9" s="93" t="n">
        <f aca="false">IFERROR(VALUE(SUBSTITUTE(INDEX('Paste BLU'!$A:$Z,MATCH($B9,'Paste BLU'!$C:$C,0),MATCH("BP UANG TITIPAN",'Paste BLU'!$3:$3,0)),".","")),0)</f>
        <v>0</v>
      </c>
      <c r="J9" s="93" t="n">
        <f aca="false">IFERROR(VALUE(SUBSTITUTE(INDEX('Paste BLU'!$A:$Z,MATCH($B9,'Paste BLU'!$C:$C,0),MATCH("BP DANA BERGULIR",'Paste BLU'!$3:$3,0)),".","")),0)</f>
        <v>0</v>
      </c>
      <c r="K9" s="93" t="n">
        <f aca="false">IFERROR(VALUE(SUBSTITUTE(INDEX('Paste BLU'!$A:$Z,MATCH($B9,'Paste BLU'!$C:$C,0),MATCH("BP HIBAH/DONASI/SUMBANGAN",'Paste BLU'!$3:$3,0)),".","")),0)</f>
        <v>0</v>
      </c>
      <c r="L9" s="93" t="n">
        <f aca="false">IFERROR(VALUE(SUBSTITUTE(INDEX('Paste BLU'!$A:$Z,MATCH($B9,'Paste BLU'!$C:$C,0),MATCH("BP LAIN-LAIN",'Paste BLU'!$3:$3,0)),".","")),0)</f>
        <v>0</v>
      </c>
      <c r="M9" s="85" t="n">
        <f aca="false">D9+E9+F9+G9+H9+I9+J9+K9+L9</f>
        <v>0</v>
      </c>
      <c r="N9" s="93" t="n">
        <f aca="false">IFERROR(VALUE(SUBSTITUTE(INDEX('Paste BLU'!$A:$Z,MATCH($B9,'Paste BLU'!$C:$C,0),MATCH("SALDO UP",'Paste BLU'!$3:$3,0)),".","")),0)</f>
        <v>0</v>
      </c>
      <c r="O9" s="93" t="n">
        <f aca="false">IFERROR(VALUE(SUBSTITUTE(INDEX('Paste BLU'!$A:$Z,MATCH($B9,'Paste BLU'!$C:$C,0),MATCH("KUITANSI BELUM GU",'Paste BLU'!$3:$3,0)),".","")),0)</f>
        <v>0</v>
      </c>
      <c r="P9" s="85" t="n">
        <f aca="false">N9+O9</f>
        <v>0</v>
      </c>
      <c r="Q9" s="93" t="n">
        <f aca="false">IFERROR(VALUE(SUBSTITUTE(INDEX('Paste BLU'!$A:$Z,MATCH($B9,'Paste BLU'!$C:$C,0),MATCH("SALDO PEND",'Paste BLU'!$3:$3,0)),".","")),0)</f>
        <v>0</v>
      </c>
      <c r="R9" s="93" t="n">
        <f aca="false">IFERROR(VALUE(SUBSTITUTE(INDEX('Paste BLU'!$A:$Z,MATCH($B9,'Paste BLU'!$C:$C,0),MATCH("PENDAPATAN BELUM DISAHKAN",'Paste BLU'!$3:$3,0)),".","")),0)</f>
        <v>0</v>
      </c>
      <c r="S9" s="85" t="n">
        <f aca="false">Q9+R9</f>
        <v>0</v>
      </c>
      <c r="T9" s="93" t="n">
        <f aca="false">IFERROR(VALUE(SUBSTITUTE(INDEX('Paste BLU'!$A:$Z,MATCH($B9,'Paste BLU'!$C:$C,0),MATCH("SALDO HIBAH",'Paste BLU'!$3:$3,0)),".","")),0)</f>
        <v>0</v>
      </c>
      <c r="U9" s="93" t="n">
        <f aca="false">IFERROR(VALUE(SUBSTITUTE(INDEX('Paste BLU'!$A:$Z,MATCH($B9,'Paste BLU'!$C:$C,0),MATCH("HIBAH/DONASI/SUMBANG BELUM DISAHKAN",'Paste BLU'!$3:$3,0)),".","")),0)</f>
        <v>0</v>
      </c>
      <c r="V9" s="85" t="n">
        <f aca="false">T9+U9</f>
        <v>0</v>
      </c>
    </row>
    <row r="10" customFormat="false" ht="18" hidden="false" customHeight="true" outlineLevel="0" collapsed="false">
      <c r="A10" s="94"/>
      <c r="B10" s="16" t="s">
        <v>191</v>
      </c>
      <c r="C10" s="17" t="s">
        <v>192</v>
      </c>
      <c r="D10" s="83" t="n">
        <f aca="false">D11</f>
        <v>0</v>
      </c>
      <c r="E10" s="83" t="n">
        <f aca="false">E11</f>
        <v>0</v>
      </c>
      <c r="F10" s="83" t="n">
        <f aca="false">F11</f>
        <v>0</v>
      </c>
      <c r="G10" s="83" t="n">
        <f aca="false">G11</f>
        <v>0</v>
      </c>
      <c r="H10" s="83" t="n">
        <f aca="false">H11</f>
        <v>0</v>
      </c>
      <c r="I10" s="83" t="n">
        <f aca="false">I11</f>
        <v>0</v>
      </c>
      <c r="J10" s="83" t="n">
        <f aca="false">J11</f>
        <v>0</v>
      </c>
      <c r="K10" s="83" t="n">
        <f aca="false">K11</f>
        <v>0</v>
      </c>
      <c r="L10" s="83" t="n">
        <f aca="false">L11</f>
        <v>0</v>
      </c>
      <c r="M10" s="83" t="n">
        <f aca="false">M11</f>
        <v>0</v>
      </c>
      <c r="N10" s="83" t="n">
        <f aca="false">N11</f>
        <v>0</v>
      </c>
      <c r="O10" s="83" t="n">
        <f aca="false">O11</f>
        <v>0</v>
      </c>
      <c r="P10" s="83" t="n">
        <f aca="false">P11</f>
        <v>0</v>
      </c>
      <c r="Q10" s="83" t="n">
        <f aca="false">Q11</f>
        <v>0</v>
      </c>
      <c r="R10" s="83" t="n">
        <f aca="false">R11</f>
        <v>0</v>
      </c>
      <c r="S10" s="83" t="n">
        <f aca="false">S11</f>
        <v>0</v>
      </c>
      <c r="T10" s="83" t="n">
        <f aca="false">T11</f>
        <v>0</v>
      </c>
      <c r="U10" s="83" t="n">
        <f aca="false">U11</f>
        <v>0</v>
      </c>
      <c r="V10" s="83" t="n">
        <f aca="false">V11</f>
        <v>0</v>
      </c>
    </row>
    <row r="11" customFormat="false" ht="47.25" hidden="false" customHeight="true" outlineLevel="0" collapsed="false">
      <c r="A11" s="19" t="n">
        <v>3</v>
      </c>
      <c r="B11" s="19" t="s">
        <v>435</v>
      </c>
      <c r="C11" s="21" t="s">
        <v>436</v>
      </c>
      <c r="D11" s="93" t="n">
        <f aca="false">IFERROR(VALUE(SUBSTITUTE(INDEX('Paste BLU'!$A:$Z,MATCH($B11,'Paste BLU'!$C:$C,0),MATCH("BP UP",'Paste BLU'!$3:$3,0)),".","")),0)</f>
        <v>0</v>
      </c>
      <c r="E11" s="93" t="n">
        <f aca="false">IFERROR(VALUE(SUBSTITUTE(INDEX('Paste BLU'!$A:$Z,MATCH($B11,'Paste BLU'!$C:$C,0),MATCH("BP LS BENDAHARA",'Paste BLU'!$3:$3,0)),".","")),0)</f>
        <v>0</v>
      </c>
      <c r="F11" s="93" t="n">
        <f aca="false">IFERROR(VALUE(SUBSTITUTE(INDEX('Paste BLU'!$A:$Z,MATCH($B11,'Paste BLU'!$C:$C,0),MATCH("BP PENDAPATAN",'Paste BLU'!$3:$3,0)),".","")),0)</f>
        <v>0</v>
      </c>
      <c r="G11" s="93" t="n">
        <f aca="false">IFERROR(VALUE(SUBSTITUTE(INDEX('Paste BLU'!$A:$Z,MATCH($B11,'Paste BLU'!$C:$C,0),MATCH("BP PAJAK",'Paste BLU'!$3:$3,0)),".","")),0)</f>
        <v>0</v>
      </c>
      <c r="H11" s="93" t="n">
        <f aca="false">IFERROR(VALUE(SUBSTITUTE(INDEX('Paste BLU'!$A:$Z,MATCH($B11,'Paste BLU'!$C:$C,0),MATCH("BP UANG PIHAK KETIGA",'Paste BLU'!$3:$3,0)),".","")),0)</f>
        <v>0</v>
      </c>
      <c r="I11" s="93" t="n">
        <f aca="false">IFERROR(VALUE(SUBSTITUTE(INDEX('Paste BLU'!$A:$Z,MATCH($B11,'Paste BLU'!$C:$C,0),MATCH("BP UANG TITIPAN",'Paste BLU'!$3:$3,0)),".","")),0)</f>
        <v>0</v>
      </c>
      <c r="J11" s="93" t="n">
        <f aca="false">IFERROR(VALUE(SUBSTITUTE(INDEX('Paste BLU'!$A:$Z,MATCH($B11,'Paste BLU'!$C:$C,0),MATCH("BP DANA BERGULIR",'Paste BLU'!$3:$3,0)),".","")),0)</f>
        <v>0</v>
      </c>
      <c r="K11" s="93" t="n">
        <f aca="false">IFERROR(VALUE(SUBSTITUTE(INDEX('Paste BLU'!$A:$Z,MATCH($B11,'Paste BLU'!$C:$C,0),MATCH("BP HIBAH/DONASI/SUMBANGAN",'Paste BLU'!$3:$3,0)),".","")),0)</f>
        <v>0</v>
      </c>
      <c r="L11" s="93" t="n">
        <f aca="false">IFERROR(VALUE(SUBSTITUTE(INDEX('Paste BLU'!$A:$Z,MATCH($B11,'Paste BLU'!$C:$C,0),MATCH("BP LAIN-LAIN",'Paste BLU'!$3:$3,0)),".","")),0)</f>
        <v>0</v>
      </c>
      <c r="M11" s="85" t="n">
        <f aca="false">D11+E11+F11+G11+H11+I11+J11+K11+L11</f>
        <v>0</v>
      </c>
      <c r="N11" s="93" t="n">
        <f aca="false">IFERROR(VALUE(SUBSTITUTE(INDEX('Paste BLU'!$A:$Z,MATCH($B11,'Paste BLU'!$C:$C,0),MATCH("SALDO UP",'Paste BLU'!$3:$3,0)),".","")),0)</f>
        <v>0</v>
      </c>
      <c r="O11" s="93" t="n">
        <f aca="false">IFERROR(VALUE(SUBSTITUTE(INDEX('Paste BLU'!$A:$Z,MATCH($B11,'Paste BLU'!$C:$C,0),MATCH("KUITANSI BELUM GU",'Paste BLU'!$3:$3,0)),".","")),0)</f>
        <v>0</v>
      </c>
      <c r="P11" s="85" t="n">
        <f aca="false">N11+O11</f>
        <v>0</v>
      </c>
      <c r="Q11" s="93" t="n">
        <f aca="false">IFERROR(VALUE(SUBSTITUTE(INDEX('Paste BLU'!$A:$Z,MATCH($B11,'Paste BLU'!$C:$C,0),MATCH("SALDO PEND",'Paste BLU'!$3:$3,0)),".","")),0)</f>
        <v>0</v>
      </c>
      <c r="R11" s="93" t="n">
        <f aca="false">IFERROR(VALUE(SUBSTITUTE(INDEX('Paste BLU'!$A:$Z,MATCH($B11,'Paste BLU'!$C:$C,0),MATCH("PENDAPATAN BELUM DISAHKAN",'Paste BLU'!$3:$3,0)),".","")),0)</f>
        <v>0</v>
      </c>
      <c r="S11" s="85" t="n">
        <f aca="false">Q11+R11</f>
        <v>0</v>
      </c>
      <c r="T11" s="93" t="n">
        <f aca="false">IFERROR(VALUE(SUBSTITUTE(INDEX('Paste BLU'!$A:$Z,MATCH($B11,'Paste BLU'!$C:$C,0),MATCH("SALDO HIBAH",'Paste BLU'!$3:$3,0)),".","")),0)</f>
        <v>0</v>
      </c>
      <c r="U11" s="93" t="n">
        <f aca="false">IFERROR(VALUE(SUBSTITUTE(INDEX('Paste BLU'!$A:$Z,MATCH($B11,'Paste BLU'!$C:$C,0),MATCH("HIBAH/DONASI/SUMBANG BELUM DISAHKAN",'Paste BLU'!$3:$3,0)),".","")),0)</f>
        <v>0</v>
      </c>
      <c r="V11" s="85" t="n">
        <f aca="false">T11+U11</f>
        <v>0</v>
      </c>
    </row>
    <row r="12" s="96" customFormat="true" ht="21" hidden="false" customHeight="true" outlineLevel="0" collapsed="false">
      <c r="A12" s="10" t="s">
        <v>29</v>
      </c>
      <c r="B12" s="10"/>
      <c r="C12" s="10"/>
      <c r="D12" s="95" t="n">
        <f aca="false">SUM(D7+D10)</f>
        <v>0</v>
      </c>
      <c r="E12" s="95" t="n">
        <f aca="false">SUM(E7,E10)</f>
        <v>0</v>
      </c>
      <c r="F12" s="95" t="n">
        <f aca="false">SUM(F7+F10)</f>
        <v>0</v>
      </c>
      <c r="G12" s="95" t="n">
        <f aca="false">SUM(G7,G10)</f>
        <v>0</v>
      </c>
      <c r="H12" s="95" t="n">
        <f aca="false">SUM(H7,H10)</f>
        <v>0</v>
      </c>
      <c r="I12" s="95" t="n">
        <f aca="false">SUM(I7,I10)</f>
        <v>0</v>
      </c>
      <c r="J12" s="95" t="n">
        <f aca="false">SUM(J7,J10)</f>
        <v>0</v>
      </c>
      <c r="K12" s="95" t="n">
        <f aca="false">SUM(K7,K10)</f>
        <v>0</v>
      </c>
      <c r="L12" s="95" t="n">
        <f aca="false">SUM(L7,L10)</f>
        <v>0</v>
      </c>
      <c r="M12" s="95" t="n">
        <f aca="false">M7+M10</f>
        <v>0</v>
      </c>
      <c r="N12" s="95" t="n">
        <f aca="false">SUM(N7+N10)</f>
        <v>0</v>
      </c>
      <c r="O12" s="95" t="n">
        <f aca="false">SUM(O7+O10)</f>
        <v>0</v>
      </c>
      <c r="P12" s="95" t="n">
        <f aca="false">SUM(P7,P10)</f>
        <v>0</v>
      </c>
      <c r="Q12" s="95" t="n">
        <f aca="false">SUM(Q7+Q10)</f>
        <v>0</v>
      </c>
      <c r="R12" s="95" t="n">
        <f aca="false">SUM(R8:R9,R11)</f>
        <v>0</v>
      </c>
      <c r="S12" s="95" t="n">
        <f aca="false">SUM(S7,S10)</f>
        <v>0</v>
      </c>
      <c r="T12" s="95" t="n">
        <f aca="false">SUM(T8:T9,T11)</f>
        <v>0</v>
      </c>
      <c r="U12" s="95" t="n">
        <f aca="false">SUM(U8:U9,U11)</f>
        <v>0</v>
      </c>
      <c r="V12" s="95" t="n">
        <f aca="false">SUM(V8:V9,V11)</f>
        <v>0</v>
      </c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</row>
    <row r="30" customFormat="false" ht="14.25" hidden="false" customHeight="false" outlineLevel="0" collapsed="false">
      <c r="N30" s="97"/>
    </row>
  </sheetData>
  <mergeCells count="21">
    <mergeCell ref="I1:N1"/>
    <mergeCell ref="I2:N2"/>
    <mergeCell ref="A4:A6"/>
    <mergeCell ref="B4:B6"/>
    <mergeCell ref="C4:C6"/>
    <mergeCell ref="D4:M4"/>
    <mergeCell ref="N4:P4"/>
    <mergeCell ref="Q4:S4"/>
    <mergeCell ref="T4:V4"/>
    <mergeCell ref="D5:D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A12:C12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A4" activeCellId="0" sqref="A4"/>
    </sheetView>
  </sheetViews>
  <sheetFormatPr defaultColWidth="8.62109375" defaultRowHeight="15.7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45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28" min="14" style="1" width="15"/>
  </cols>
  <sheetData>
    <row r="1" customFormat="false" ht="15.75" hidden="false" customHeight="false" outlineLevel="0" collapsed="false">
      <c r="A1" s="98" t="s">
        <v>437</v>
      </c>
      <c r="B1" s="99"/>
      <c r="C1" s="48"/>
      <c r="D1" s="99"/>
      <c r="E1" s="99"/>
      <c r="F1" s="99"/>
      <c r="G1" s="99"/>
      <c r="H1" s="48"/>
      <c r="I1" s="48"/>
      <c r="J1" s="48"/>
      <c r="K1" s="48"/>
      <c r="L1" s="48"/>
      <c r="M1" s="48"/>
      <c r="N1" s="48"/>
      <c r="O1" s="48"/>
      <c r="P1" s="48"/>
      <c r="Q1" s="99"/>
      <c r="R1" s="48"/>
      <c r="S1" s="48"/>
      <c r="T1" s="99"/>
      <c r="U1" s="48"/>
      <c r="V1" s="48"/>
      <c r="W1" s="99"/>
      <c r="X1" s="48"/>
      <c r="Y1" s="48"/>
      <c r="Z1" s="48"/>
      <c r="AA1" s="48"/>
      <c r="AB1" s="48"/>
      <c r="AC1" s="50"/>
      <c r="AD1" s="50"/>
    </row>
    <row r="2" customFormat="false" ht="51" hidden="false" customHeight="true" outlineLevel="0" collapsed="false">
      <c r="A2" s="50"/>
      <c r="B2" s="100"/>
      <c r="C2" s="100"/>
      <c r="D2" s="50"/>
      <c r="E2" s="50"/>
      <c r="F2" s="5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50"/>
      <c r="AA2" s="50"/>
      <c r="AB2" s="50"/>
      <c r="AC2" s="50"/>
      <c r="AD2" s="50"/>
    </row>
    <row r="3" customFormat="false" ht="35.05" hidden="false" customHeight="false" outlineLevel="0" collapsed="false">
      <c r="A3" s="51" t="s">
        <v>19</v>
      </c>
      <c r="B3" s="51" t="s">
        <v>394</v>
      </c>
      <c r="C3" s="51" t="s">
        <v>395</v>
      </c>
      <c r="D3" s="51" t="s">
        <v>21</v>
      </c>
      <c r="E3" s="51" t="s">
        <v>396</v>
      </c>
      <c r="F3" s="51" t="s">
        <v>397</v>
      </c>
      <c r="G3" s="51" t="s">
        <v>398</v>
      </c>
      <c r="H3" s="51" t="s">
        <v>399</v>
      </c>
      <c r="I3" s="51" t="s">
        <v>400</v>
      </c>
      <c r="J3" s="51" t="s">
        <v>24</v>
      </c>
      <c r="K3" s="51" t="s">
        <v>25</v>
      </c>
      <c r="L3" s="51" t="s">
        <v>438</v>
      </c>
      <c r="M3" s="51" t="s">
        <v>26</v>
      </c>
      <c r="N3" s="51" t="s">
        <v>439</v>
      </c>
      <c r="O3" s="51" t="s">
        <v>440</v>
      </c>
      <c r="P3" s="51" t="s">
        <v>441</v>
      </c>
      <c r="Q3" s="51" t="s">
        <v>442</v>
      </c>
      <c r="R3" s="51" t="s">
        <v>28</v>
      </c>
      <c r="S3" s="51" t="s">
        <v>29</v>
      </c>
      <c r="T3" s="51" t="s">
        <v>443</v>
      </c>
      <c r="U3" s="51" t="s">
        <v>444</v>
      </c>
      <c r="V3" s="51" t="s">
        <v>445</v>
      </c>
      <c r="W3" s="51" t="s">
        <v>446</v>
      </c>
      <c r="X3" s="51" t="s">
        <v>447</v>
      </c>
      <c r="Y3" s="51" t="s">
        <v>448</v>
      </c>
      <c r="Z3" s="51" t="s">
        <v>449</v>
      </c>
      <c r="AA3" s="51" t="s">
        <v>450</v>
      </c>
      <c r="AB3" s="51" t="s">
        <v>451</v>
      </c>
      <c r="AC3" s="50"/>
      <c r="AD3" s="50"/>
    </row>
    <row r="4" customFormat="false" ht="15.75" hidden="false" customHeight="fals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</row>
    <row r="5" customFormat="false" ht="15.75" hidden="false" customHeight="false" outlineLevel="0" collapsed="false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 customFormat="false" ht="15.75" hidden="false" customHeight="false" outlineLevel="0" collapsed="false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7" customFormat="false" ht="15.75" hidden="false" customHeight="false" outlineLevel="0" collapsed="false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0"/>
      <c r="AD7" s="50"/>
    </row>
    <row r="8" customFormat="false" ht="15.75" hidden="false" customHeight="false" outlineLevel="0" collapsed="false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 customFormat="false" ht="15.75" hidden="false" customHeight="false" outlineLevel="0" collapsed="false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</row>
    <row r="10" customFormat="false" ht="15.75" hidden="false" customHeight="false" outlineLevel="0" collapsed="false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customFormat="false" ht="15.75" hidden="false" customHeight="false" outlineLevel="0" collapsed="false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 customFormat="false" ht="15.75" hidden="false" customHeight="fals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2" activeCellId="0" sqref="B182"/>
    </sheetView>
  </sheetViews>
  <sheetFormatPr defaultColWidth="8.6210937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452</v>
      </c>
      <c r="B1" s="1" t="s">
        <v>453</v>
      </c>
    </row>
    <row r="2" customFormat="false" ht="15.75" hidden="false" customHeight="false" outlineLevel="0" collapsed="false">
      <c r="A2" s="19" t="n">
        <v>238399</v>
      </c>
      <c r="B2" s="1" t="n">
        <v>238399</v>
      </c>
    </row>
    <row r="3" customFormat="false" ht="15.75" hidden="false" customHeight="false" outlineLevel="0" collapsed="false">
      <c r="A3" s="19" t="n">
        <v>308166</v>
      </c>
      <c r="B3" s="1" t="n">
        <v>308166</v>
      </c>
    </row>
    <row r="4" customFormat="false" ht="15.75" hidden="false" customHeight="false" outlineLevel="0" collapsed="false">
      <c r="A4" s="19" t="n">
        <v>308255</v>
      </c>
      <c r="B4" s="1" t="n">
        <v>308255</v>
      </c>
    </row>
    <row r="5" customFormat="false" ht="15.75" hidden="false" customHeight="false" outlineLevel="0" collapsed="false">
      <c r="A5" s="19" t="n">
        <v>308276</v>
      </c>
      <c r="B5" s="1" t="n">
        <v>308276</v>
      </c>
    </row>
    <row r="6" customFormat="false" ht="15.75" hidden="false" customHeight="false" outlineLevel="0" collapsed="false">
      <c r="A6" s="19" t="n">
        <v>309124</v>
      </c>
      <c r="B6" s="1" t="n">
        <v>309124</v>
      </c>
    </row>
    <row r="7" customFormat="false" ht="15.75" hidden="false" customHeight="false" outlineLevel="0" collapsed="false">
      <c r="A7" s="19" t="n">
        <v>309840</v>
      </c>
      <c r="B7" s="1" t="n">
        <v>309840</v>
      </c>
    </row>
    <row r="8" customFormat="false" ht="15.75" hidden="false" customHeight="false" outlineLevel="0" collapsed="false">
      <c r="A8" s="19" t="n">
        <v>309857</v>
      </c>
      <c r="B8" s="1" t="n">
        <v>309857</v>
      </c>
    </row>
    <row r="9" customFormat="false" ht="15.75" hidden="false" customHeight="false" outlineLevel="0" collapsed="false">
      <c r="A9" s="19" t="n">
        <v>344202</v>
      </c>
      <c r="B9" s="1" t="n">
        <v>344202</v>
      </c>
    </row>
    <row r="10" customFormat="false" ht="15.75" hidden="false" customHeight="false" outlineLevel="0" collapsed="false">
      <c r="A10" s="19" t="n">
        <v>344203</v>
      </c>
      <c r="B10" s="1" t="n">
        <v>344203</v>
      </c>
    </row>
    <row r="11" customFormat="false" ht="15.75" hidden="false" customHeight="false" outlineLevel="0" collapsed="false">
      <c r="A11" s="19" t="n">
        <v>344204</v>
      </c>
      <c r="B11" s="1" t="n">
        <v>344204</v>
      </c>
    </row>
    <row r="12" customFormat="false" ht="15.75" hidden="false" customHeight="false" outlineLevel="0" collapsed="false">
      <c r="A12" s="19" t="n">
        <v>344205</v>
      </c>
      <c r="B12" s="1" t="n">
        <v>344205</v>
      </c>
    </row>
    <row r="13" customFormat="false" ht="15.75" hidden="false" customHeight="false" outlineLevel="0" collapsed="false">
      <c r="A13" s="19" t="n">
        <v>344206</v>
      </c>
      <c r="B13" s="1" t="n">
        <v>344206</v>
      </c>
    </row>
    <row r="14" customFormat="false" ht="15.75" hidden="false" customHeight="false" outlineLevel="0" collapsed="false">
      <c r="A14" s="19" t="n">
        <v>344215</v>
      </c>
      <c r="B14" s="1" t="n">
        <v>344215</v>
      </c>
    </row>
    <row r="15" customFormat="false" ht="15.75" hidden="false" customHeight="false" outlineLevel="0" collapsed="false">
      <c r="A15" s="19" t="n">
        <v>344221</v>
      </c>
      <c r="B15" s="1" t="n">
        <v>344221</v>
      </c>
    </row>
    <row r="16" customFormat="false" ht="15.75" hidden="false" customHeight="false" outlineLevel="0" collapsed="false">
      <c r="A16" s="19" t="n">
        <v>344507</v>
      </c>
      <c r="B16" s="1" t="n">
        <v>344507</v>
      </c>
    </row>
    <row r="17" customFormat="false" ht="15.75" hidden="false" customHeight="false" outlineLevel="0" collapsed="false">
      <c r="A17" s="19" t="n">
        <v>344513</v>
      </c>
      <c r="B17" s="1" t="n">
        <v>344513</v>
      </c>
    </row>
    <row r="18" customFormat="false" ht="15.75" hidden="false" customHeight="false" outlineLevel="0" collapsed="false">
      <c r="A18" s="19" t="n">
        <v>344519</v>
      </c>
      <c r="B18" s="1" t="n">
        <v>344519</v>
      </c>
    </row>
    <row r="19" customFormat="false" ht="15.75" hidden="false" customHeight="false" outlineLevel="0" collapsed="false">
      <c r="A19" s="19" t="n">
        <v>344525</v>
      </c>
      <c r="B19" s="1" t="n">
        <v>344525</v>
      </c>
    </row>
    <row r="20" customFormat="false" ht="15.75" hidden="false" customHeight="false" outlineLevel="0" collapsed="false">
      <c r="A20" s="19" t="n">
        <v>344528</v>
      </c>
      <c r="B20" s="1" t="n">
        <v>344528</v>
      </c>
    </row>
    <row r="21" customFormat="false" ht="15.75" hidden="false" customHeight="false" outlineLevel="0" collapsed="false">
      <c r="A21" s="19" t="n">
        <v>344529</v>
      </c>
      <c r="B21" s="1" t="n">
        <v>344529</v>
      </c>
    </row>
    <row r="22" customFormat="false" ht="15.75" hidden="false" customHeight="false" outlineLevel="0" collapsed="false">
      <c r="A22" s="19" t="n">
        <v>344632</v>
      </c>
      <c r="B22" s="1" t="n">
        <v>344632</v>
      </c>
    </row>
    <row r="23" customFormat="false" ht="15.75" hidden="false" customHeight="false" outlineLevel="0" collapsed="false">
      <c r="A23" s="19" t="n">
        <v>344775</v>
      </c>
      <c r="B23" s="1" t="n">
        <v>344775</v>
      </c>
    </row>
    <row r="24" customFormat="false" ht="15.75" hidden="false" customHeight="false" outlineLevel="0" collapsed="false">
      <c r="A24" s="19" t="n">
        <v>344801</v>
      </c>
      <c r="B24" s="1" t="n">
        <v>344801</v>
      </c>
    </row>
    <row r="25" customFormat="false" ht="15.75" hidden="false" customHeight="false" outlineLevel="0" collapsed="false">
      <c r="A25" s="19" t="n">
        <v>344805</v>
      </c>
      <c r="B25" s="1" t="n">
        <v>344805</v>
      </c>
    </row>
    <row r="26" customFormat="false" ht="15.75" hidden="false" customHeight="false" outlineLevel="0" collapsed="false">
      <c r="A26" s="19" t="n">
        <v>344819</v>
      </c>
      <c r="B26" s="1" t="n">
        <v>344819</v>
      </c>
    </row>
    <row r="27" customFormat="false" ht="15.75" hidden="false" customHeight="false" outlineLevel="0" collapsed="false">
      <c r="A27" s="19" t="n">
        <v>344860</v>
      </c>
      <c r="B27" s="1" t="n">
        <v>344860</v>
      </c>
    </row>
    <row r="28" customFormat="false" ht="15.75" hidden="false" customHeight="false" outlineLevel="0" collapsed="false">
      <c r="A28" s="19" t="n">
        <v>344864</v>
      </c>
      <c r="B28" s="1" t="n">
        <v>344864</v>
      </c>
    </row>
    <row r="29" customFormat="false" ht="15.75" hidden="false" customHeight="false" outlineLevel="0" collapsed="false">
      <c r="A29" s="19" t="n">
        <v>344865</v>
      </c>
      <c r="B29" s="1" t="n">
        <v>344865</v>
      </c>
    </row>
    <row r="30" customFormat="false" ht="15.75" hidden="false" customHeight="false" outlineLevel="0" collapsed="false">
      <c r="A30" s="19" t="n">
        <v>344868</v>
      </c>
      <c r="B30" s="1" t="n">
        <v>344868</v>
      </c>
    </row>
    <row r="31" customFormat="false" ht="15.75" hidden="false" customHeight="false" outlineLevel="0" collapsed="false">
      <c r="A31" s="19" t="n">
        <v>344871</v>
      </c>
      <c r="B31" s="1" t="n">
        <v>344871</v>
      </c>
    </row>
    <row r="32" customFormat="false" ht="15.75" hidden="false" customHeight="false" outlineLevel="0" collapsed="false">
      <c r="A32" s="19" t="n">
        <v>344872</v>
      </c>
      <c r="B32" s="1" t="n">
        <v>344872</v>
      </c>
    </row>
    <row r="33" customFormat="false" ht="15.75" hidden="false" customHeight="false" outlineLevel="0" collapsed="false">
      <c r="A33" s="19" t="n">
        <v>344896</v>
      </c>
      <c r="B33" s="1" t="n">
        <v>344896</v>
      </c>
    </row>
    <row r="34" customFormat="false" ht="15.75" hidden="false" customHeight="false" outlineLevel="0" collapsed="false">
      <c r="A34" s="19" t="n">
        <v>400483</v>
      </c>
      <c r="B34" s="1" t="n">
        <v>400483</v>
      </c>
    </row>
    <row r="35" customFormat="false" ht="15.75" hidden="false" customHeight="false" outlineLevel="0" collapsed="false">
      <c r="A35" s="19" t="n">
        <v>400484</v>
      </c>
      <c r="B35" s="1" t="n">
        <v>400484</v>
      </c>
    </row>
    <row r="36" customFormat="false" ht="15.75" hidden="false" customHeight="false" outlineLevel="0" collapsed="false">
      <c r="A36" s="19" t="n">
        <v>400662</v>
      </c>
      <c r="B36" s="1" t="n">
        <v>400662</v>
      </c>
    </row>
    <row r="37" customFormat="false" ht="15.75" hidden="false" customHeight="false" outlineLevel="0" collapsed="false">
      <c r="A37" s="19" t="n">
        <v>400663</v>
      </c>
      <c r="B37" s="1" t="n">
        <v>400663</v>
      </c>
    </row>
    <row r="38" customFormat="false" ht="15.75" hidden="false" customHeight="false" outlineLevel="0" collapsed="false">
      <c r="A38" s="19" t="n">
        <v>400836</v>
      </c>
      <c r="B38" s="1" t="n">
        <v>400836</v>
      </c>
    </row>
    <row r="39" customFormat="false" ht="15.75" hidden="false" customHeight="false" outlineLevel="0" collapsed="false">
      <c r="A39" s="19" t="n">
        <v>400837</v>
      </c>
      <c r="B39" s="1" t="n">
        <v>400837</v>
      </c>
    </row>
    <row r="40" customFormat="false" ht="15.75" hidden="false" customHeight="false" outlineLevel="0" collapsed="false">
      <c r="A40" s="19" t="n">
        <v>400930</v>
      </c>
      <c r="B40" s="1" t="n">
        <v>400930</v>
      </c>
    </row>
    <row r="41" customFormat="false" ht="15.75" hidden="false" customHeight="false" outlineLevel="0" collapsed="false">
      <c r="A41" s="19" t="n">
        <v>401663</v>
      </c>
      <c r="B41" s="1" t="n">
        <v>401663</v>
      </c>
    </row>
    <row r="42" customFormat="false" ht="15.75" hidden="false" customHeight="false" outlineLevel="0" collapsed="false">
      <c r="A42" s="19" t="n">
        <v>401957</v>
      </c>
      <c r="B42" s="1" t="n">
        <v>401957</v>
      </c>
    </row>
    <row r="43" customFormat="false" ht="15.75" hidden="false" customHeight="false" outlineLevel="0" collapsed="false">
      <c r="A43" s="19" t="n">
        <v>401958</v>
      </c>
      <c r="B43" s="1" t="n">
        <v>401958</v>
      </c>
    </row>
    <row r="44" customFormat="false" ht="15.75" hidden="false" customHeight="false" outlineLevel="0" collapsed="false">
      <c r="A44" s="19" t="n">
        <v>401959</v>
      </c>
      <c r="B44" s="1" t="n">
        <v>401959</v>
      </c>
    </row>
    <row r="45" customFormat="false" ht="15.75" hidden="false" customHeight="false" outlineLevel="0" collapsed="false">
      <c r="A45" s="19" t="n">
        <v>403419</v>
      </c>
      <c r="B45" s="1" t="n">
        <v>403419</v>
      </c>
    </row>
    <row r="46" customFormat="false" ht="15.75" hidden="false" customHeight="false" outlineLevel="0" collapsed="false">
      <c r="A46" s="19" t="n">
        <v>403420</v>
      </c>
      <c r="B46" s="1" t="n">
        <v>403420</v>
      </c>
    </row>
    <row r="47" customFormat="false" ht="15.75" hidden="false" customHeight="false" outlineLevel="0" collapsed="false">
      <c r="A47" s="19" t="n">
        <v>403421</v>
      </c>
      <c r="B47" s="1" t="n">
        <v>403421</v>
      </c>
    </row>
    <row r="48" customFormat="false" ht="15.75" hidden="false" customHeight="false" outlineLevel="0" collapsed="false">
      <c r="A48" s="19" t="n">
        <v>403849</v>
      </c>
      <c r="B48" s="1" t="n">
        <v>403849</v>
      </c>
    </row>
    <row r="49" customFormat="false" ht="15.75" hidden="false" customHeight="false" outlineLevel="0" collapsed="false">
      <c r="A49" s="19" t="n">
        <v>406933</v>
      </c>
      <c r="B49" s="1" t="n">
        <v>406933</v>
      </c>
    </row>
    <row r="50" customFormat="false" ht="15.75" hidden="false" customHeight="false" outlineLevel="0" collapsed="false">
      <c r="A50" s="19" t="n">
        <v>416377</v>
      </c>
      <c r="B50" s="1" t="n">
        <v>416377</v>
      </c>
    </row>
    <row r="51" customFormat="false" ht="15.75" hidden="false" customHeight="false" outlineLevel="0" collapsed="false">
      <c r="A51" s="19" t="n">
        <v>416378</v>
      </c>
      <c r="B51" s="1" t="n">
        <v>416378</v>
      </c>
    </row>
    <row r="52" customFormat="false" ht="15.75" hidden="false" customHeight="false" outlineLevel="0" collapsed="false">
      <c r="A52" s="19" t="n">
        <v>416379</v>
      </c>
      <c r="B52" s="1" t="n">
        <v>416379</v>
      </c>
    </row>
    <row r="53" customFormat="false" ht="15.75" hidden="false" customHeight="false" outlineLevel="0" collapsed="false">
      <c r="A53" s="19" t="n">
        <v>416380</v>
      </c>
      <c r="B53" s="1" t="n">
        <v>416380</v>
      </c>
    </row>
    <row r="54" customFormat="false" ht="15.75" hidden="false" customHeight="false" outlineLevel="0" collapsed="false">
      <c r="A54" s="19" t="n">
        <v>416381</v>
      </c>
      <c r="B54" s="1" t="n">
        <v>416381</v>
      </c>
    </row>
    <row r="55" customFormat="false" ht="15.75" hidden="false" customHeight="false" outlineLevel="0" collapsed="false">
      <c r="A55" s="19" t="n">
        <v>416382</v>
      </c>
      <c r="B55" s="1" t="n">
        <v>416382</v>
      </c>
    </row>
    <row r="56" customFormat="false" ht="15.75" hidden="false" customHeight="false" outlineLevel="0" collapsed="false">
      <c r="A56" s="19" t="n">
        <v>416383</v>
      </c>
      <c r="B56" s="1" t="n">
        <v>416383</v>
      </c>
    </row>
    <row r="57" customFormat="false" ht="15.75" hidden="false" customHeight="false" outlineLevel="0" collapsed="false">
      <c r="A57" s="19" t="n">
        <v>416384</v>
      </c>
      <c r="B57" s="1" t="n">
        <v>416384</v>
      </c>
    </row>
    <row r="58" customFormat="false" ht="15.75" hidden="false" customHeight="false" outlineLevel="0" collapsed="false">
      <c r="A58" s="19" t="n">
        <v>416385</v>
      </c>
      <c r="B58" s="1" t="n">
        <v>416385</v>
      </c>
    </row>
    <row r="59" customFormat="false" ht="15.75" hidden="false" customHeight="false" outlineLevel="0" collapsed="false">
      <c r="A59" s="19" t="n">
        <v>416386</v>
      </c>
      <c r="B59" s="1" t="n">
        <v>416386</v>
      </c>
    </row>
    <row r="60" customFormat="false" ht="15.75" hidden="false" customHeight="false" outlineLevel="0" collapsed="false">
      <c r="A60" s="19" t="n">
        <v>416387</v>
      </c>
      <c r="B60" s="1" t="n">
        <v>416387</v>
      </c>
    </row>
    <row r="61" customFormat="false" ht="15.75" hidden="false" customHeight="false" outlineLevel="0" collapsed="false">
      <c r="A61" s="19" t="n">
        <v>416388</v>
      </c>
      <c r="B61" s="1" t="n">
        <v>416388</v>
      </c>
    </row>
    <row r="62" customFormat="false" ht="15.75" hidden="false" customHeight="false" outlineLevel="0" collapsed="false">
      <c r="A62" s="19" t="n">
        <v>416392</v>
      </c>
      <c r="B62" s="1" t="n">
        <v>416392</v>
      </c>
    </row>
    <row r="63" customFormat="false" ht="15.75" hidden="false" customHeight="false" outlineLevel="0" collapsed="false">
      <c r="A63" s="19" t="n">
        <v>416393</v>
      </c>
      <c r="B63" s="1" t="n">
        <v>416393</v>
      </c>
    </row>
    <row r="64" customFormat="false" ht="15.75" hidden="false" customHeight="false" outlineLevel="0" collapsed="false">
      <c r="A64" s="19" t="n">
        <v>416394</v>
      </c>
      <c r="B64" s="1" t="n">
        <v>416394</v>
      </c>
    </row>
    <row r="65" customFormat="false" ht="15.75" hidden="false" customHeight="false" outlineLevel="0" collapsed="false">
      <c r="A65" s="19" t="n">
        <v>416395</v>
      </c>
      <c r="B65" s="1" t="n">
        <v>416395</v>
      </c>
    </row>
    <row r="66" customFormat="false" ht="15.75" hidden="false" customHeight="false" outlineLevel="0" collapsed="false">
      <c r="A66" s="19" t="n">
        <v>416403</v>
      </c>
      <c r="B66" s="1" t="n">
        <v>416403</v>
      </c>
    </row>
    <row r="67" customFormat="false" ht="15.75" hidden="false" customHeight="false" outlineLevel="0" collapsed="false">
      <c r="A67" s="19" t="n">
        <v>416412</v>
      </c>
      <c r="B67" s="1" t="n">
        <v>416412</v>
      </c>
    </row>
    <row r="68" customFormat="false" ht="15.75" hidden="false" customHeight="false" outlineLevel="0" collapsed="false">
      <c r="A68" s="19" t="n">
        <v>416428</v>
      </c>
      <c r="B68" s="1" t="n">
        <v>416428</v>
      </c>
    </row>
    <row r="69" customFormat="false" ht="15.75" hidden="false" customHeight="false" outlineLevel="0" collapsed="false">
      <c r="A69" s="19" t="n">
        <v>419173</v>
      </c>
      <c r="B69" s="1" t="n">
        <v>419173</v>
      </c>
    </row>
    <row r="70" customFormat="false" ht="15.75" hidden="false" customHeight="false" outlineLevel="0" collapsed="false">
      <c r="A70" s="19" t="n">
        <v>419576</v>
      </c>
      <c r="B70" s="1" t="n">
        <v>419576</v>
      </c>
    </row>
    <row r="71" customFormat="false" ht="15.75" hidden="false" customHeight="false" outlineLevel="0" collapsed="false">
      <c r="A71" s="19" t="n">
        <v>420108</v>
      </c>
      <c r="B71" s="1" t="n">
        <v>420108</v>
      </c>
    </row>
    <row r="72" customFormat="false" ht="15.75" hidden="false" customHeight="false" outlineLevel="0" collapsed="false">
      <c r="A72" s="19" t="n">
        <v>420109</v>
      </c>
      <c r="B72" s="1" t="n">
        <v>420109</v>
      </c>
    </row>
    <row r="73" customFormat="false" ht="15.75" hidden="false" customHeight="false" outlineLevel="0" collapsed="false">
      <c r="A73" s="19" t="n">
        <v>420110</v>
      </c>
      <c r="B73" s="1" t="n">
        <v>420110</v>
      </c>
    </row>
    <row r="74" customFormat="false" ht="15.75" hidden="false" customHeight="false" outlineLevel="0" collapsed="false">
      <c r="A74" s="19" t="n">
        <v>420118</v>
      </c>
      <c r="B74" s="1" t="n">
        <v>420118</v>
      </c>
    </row>
    <row r="75" customFormat="false" ht="15.75" hidden="false" customHeight="false" outlineLevel="0" collapsed="false">
      <c r="A75" s="19" t="n">
        <v>420120</v>
      </c>
      <c r="B75" s="1" t="n">
        <v>420120</v>
      </c>
    </row>
    <row r="76" customFormat="false" ht="15.75" hidden="false" customHeight="false" outlineLevel="0" collapsed="false">
      <c r="A76" s="19" t="n">
        <v>420121</v>
      </c>
      <c r="B76" s="1" t="n">
        <v>420121</v>
      </c>
    </row>
    <row r="77" customFormat="false" ht="15.75" hidden="false" customHeight="false" outlineLevel="0" collapsed="false">
      <c r="A77" s="19" t="n">
        <v>420122</v>
      </c>
      <c r="B77" s="1" t="n">
        <v>420122</v>
      </c>
    </row>
    <row r="78" customFormat="false" ht="15.75" hidden="false" customHeight="false" outlineLevel="0" collapsed="false">
      <c r="A78" s="19" t="n">
        <v>420123</v>
      </c>
      <c r="B78" s="1" t="n">
        <v>420123</v>
      </c>
    </row>
    <row r="79" customFormat="false" ht="15.75" hidden="false" customHeight="false" outlineLevel="0" collapsed="false">
      <c r="A79" s="19" t="n">
        <v>420129</v>
      </c>
      <c r="B79" s="1" t="n">
        <v>420129</v>
      </c>
    </row>
    <row r="80" customFormat="false" ht="15.75" hidden="false" customHeight="false" outlineLevel="0" collapsed="false">
      <c r="A80" s="19" t="n">
        <v>420140</v>
      </c>
      <c r="B80" s="1" t="n">
        <v>420140</v>
      </c>
    </row>
    <row r="81" customFormat="false" ht="15.75" hidden="false" customHeight="false" outlineLevel="0" collapsed="false">
      <c r="A81" s="19" t="n">
        <v>420141</v>
      </c>
      <c r="B81" s="1" t="n">
        <v>420141</v>
      </c>
    </row>
    <row r="82" customFormat="false" ht="15.75" hidden="false" customHeight="false" outlineLevel="0" collapsed="false">
      <c r="A82" s="19" t="n">
        <v>420142</v>
      </c>
      <c r="B82" s="1" t="n">
        <v>420142</v>
      </c>
    </row>
    <row r="83" customFormat="false" ht="15.75" hidden="false" customHeight="false" outlineLevel="0" collapsed="false">
      <c r="A83" s="19" t="n">
        <v>420150</v>
      </c>
      <c r="B83" s="1" t="n">
        <v>420150</v>
      </c>
    </row>
    <row r="84" customFormat="false" ht="15.75" hidden="false" customHeight="false" outlineLevel="0" collapsed="false">
      <c r="A84" s="19" t="n">
        <v>426179</v>
      </c>
      <c r="B84" s="1" t="n">
        <v>426179</v>
      </c>
    </row>
    <row r="85" customFormat="false" ht="15.75" hidden="false" customHeight="false" outlineLevel="0" collapsed="false">
      <c r="A85" s="19" t="n">
        <v>427015</v>
      </c>
      <c r="B85" s="1" t="n">
        <v>427015</v>
      </c>
    </row>
    <row r="86" customFormat="false" ht="15.75" hidden="false" customHeight="false" outlineLevel="0" collapsed="false">
      <c r="A86" s="19" t="n">
        <v>432659</v>
      </c>
      <c r="B86" s="1" t="n">
        <v>432659</v>
      </c>
    </row>
    <row r="87" customFormat="false" ht="15.75" hidden="false" customHeight="false" outlineLevel="0" collapsed="false">
      <c r="A87" s="19" t="n">
        <v>432753</v>
      </c>
      <c r="B87" s="1" t="n">
        <v>432753</v>
      </c>
    </row>
    <row r="88" customFormat="false" ht="15.75" hidden="false" customHeight="false" outlineLevel="0" collapsed="false">
      <c r="A88" s="19" t="n">
        <v>436781</v>
      </c>
      <c r="B88" s="1" t="n">
        <v>436781</v>
      </c>
    </row>
    <row r="89" customFormat="false" ht="15.75" hidden="false" customHeight="false" outlineLevel="0" collapsed="false">
      <c r="A89" s="19" t="n">
        <v>450423</v>
      </c>
      <c r="B89" s="1" t="n">
        <v>450423</v>
      </c>
    </row>
    <row r="90" customFormat="false" ht="15.75" hidden="false" customHeight="false" outlineLevel="0" collapsed="false">
      <c r="A90" s="19" t="n">
        <v>450511</v>
      </c>
      <c r="B90" s="1" t="n">
        <v>450511</v>
      </c>
    </row>
    <row r="91" customFormat="false" ht="15.75" hidden="false" customHeight="false" outlineLevel="0" collapsed="false">
      <c r="A91" s="19" t="n">
        <v>467515</v>
      </c>
      <c r="B91" s="1" t="n">
        <v>467515</v>
      </c>
    </row>
    <row r="92" customFormat="false" ht="15.75" hidden="false" customHeight="false" outlineLevel="0" collapsed="false">
      <c r="A92" s="19" t="n">
        <v>471662</v>
      </c>
      <c r="B92" s="1" t="n">
        <v>471662</v>
      </c>
    </row>
    <row r="93" customFormat="false" ht="15.75" hidden="false" customHeight="false" outlineLevel="0" collapsed="false">
      <c r="A93" s="19" t="n">
        <v>495565</v>
      </c>
      <c r="B93" s="1" t="n">
        <v>495565</v>
      </c>
    </row>
    <row r="94" customFormat="false" ht="15.75" hidden="false" customHeight="false" outlineLevel="0" collapsed="false">
      <c r="A94" s="19" t="n">
        <v>498134</v>
      </c>
      <c r="B94" s="1" t="n">
        <v>498134</v>
      </c>
    </row>
    <row r="95" customFormat="false" ht="15.75" hidden="false" customHeight="false" outlineLevel="0" collapsed="false">
      <c r="A95" s="19" t="n">
        <v>498136</v>
      </c>
      <c r="B95" s="1" t="n">
        <v>498136</v>
      </c>
    </row>
    <row r="96" customFormat="false" ht="15.75" hidden="false" customHeight="false" outlineLevel="0" collapsed="false">
      <c r="A96" s="19" t="n">
        <v>498606</v>
      </c>
      <c r="B96" s="1" t="n">
        <v>498606</v>
      </c>
    </row>
    <row r="97" customFormat="false" ht="15.75" hidden="false" customHeight="false" outlineLevel="0" collapsed="false">
      <c r="A97" s="19" t="n">
        <v>498619</v>
      </c>
      <c r="B97" s="1" t="n">
        <v>498619</v>
      </c>
    </row>
    <row r="98" customFormat="false" ht="15.75" hidden="false" customHeight="false" outlineLevel="0" collapsed="false">
      <c r="A98" s="19" t="n">
        <v>505837</v>
      </c>
      <c r="B98" s="1" t="n">
        <v>505837</v>
      </c>
    </row>
    <row r="99" customFormat="false" ht="15.75" hidden="false" customHeight="false" outlineLevel="0" collapsed="false">
      <c r="A99" s="19" t="n">
        <v>531823</v>
      </c>
      <c r="B99" s="1" t="n">
        <v>531823</v>
      </c>
    </row>
    <row r="100" customFormat="false" ht="15.75" hidden="false" customHeight="false" outlineLevel="0" collapsed="false">
      <c r="A100" s="19" t="n">
        <v>531824</v>
      </c>
      <c r="B100" s="1" t="n">
        <v>531824</v>
      </c>
    </row>
    <row r="101" customFormat="false" ht="15.75" hidden="false" customHeight="false" outlineLevel="0" collapsed="false">
      <c r="A101" s="19" t="n">
        <v>537081</v>
      </c>
      <c r="B101" s="1" t="n">
        <v>537081</v>
      </c>
    </row>
    <row r="102" customFormat="false" ht="15.75" hidden="false" customHeight="false" outlineLevel="0" collapsed="false">
      <c r="A102" s="19" t="n">
        <v>553310</v>
      </c>
      <c r="B102" s="1" t="n">
        <v>553310</v>
      </c>
    </row>
    <row r="103" customFormat="false" ht="15.75" hidden="false" customHeight="false" outlineLevel="0" collapsed="false">
      <c r="A103" s="19" t="n">
        <v>553900</v>
      </c>
      <c r="B103" s="1" t="n">
        <v>553900</v>
      </c>
    </row>
    <row r="104" customFormat="false" ht="15.75" hidden="false" customHeight="false" outlineLevel="0" collapsed="false">
      <c r="A104" s="19" t="n">
        <v>572903</v>
      </c>
      <c r="B104" s="1" t="n">
        <v>572903</v>
      </c>
    </row>
    <row r="105" customFormat="false" ht="15.75" hidden="false" customHeight="false" outlineLevel="0" collapsed="false">
      <c r="A105" s="19" t="n">
        <v>572910</v>
      </c>
      <c r="B105" s="1" t="n">
        <v>572910</v>
      </c>
    </row>
    <row r="106" customFormat="false" ht="15.75" hidden="false" customHeight="false" outlineLevel="0" collapsed="false">
      <c r="A106" s="19" t="n">
        <v>572924</v>
      </c>
      <c r="B106" s="1" t="n">
        <v>572924</v>
      </c>
    </row>
    <row r="107" customFormat="false" ht="15.75" hidden="false" customHeight="false" outlineLevel="0" collapsed="false">
      <c r="A107" s="19" t="n">
        <v>597832</v>
      </c>
      <c r="B107" s="1" t="n">
        <v>597832</v>
      </c>
    </row>
    <row r="108" customFormat="false" ht="15.75" hidden="false" customHeight="false" outlineLevel="0" collapsed="false">
      <c r="A108" s="19" t="n">
        <v>597892</v>
      </c>
      <c r="B108" s="1" t="n">
        <v>597892</v>
      </c>
    </row>
    <row r="109" customFormat="false" ht="15.75" hidden="false" customHeight="false" outlineLevel="0" collapsed="false">
      <c r="A109" s="19" t="n">
        <v>597900</v>
      </c>
      <c r="B109" s="1" t="n">
        <v>597900</v>
      </c>
    </row>
    <row r="110" customFormat="false" ht="15.75" hidden="false" customHeight="false" outlineLevel="0" collapsed="false">
      <c r="A110" s="19" t="n">
        <v>613391</v>
      </c>
      <c r="B110" s="1" t="n">
        <v>613391</v>
      </c>
    </row>
    <row r="111" customFormat="false" ht="15.75" hidden="false" customHeight="false" outlineLevel="0" collapsed="false">
      <c r="A111" s="19" t="n">
        <v>631123</v>
      </c>
      <c r="B111" s="1" t="n">
        <v>631123</v>
      </c>
    </row>
    <row r="112" customFormat="false" ht="15.75" hidden="false" customHeight="false" outlineLevel="0" collapsed="false">
      <c r="A112" s="19" t="n">
        <v>631124</v>
      </c>
      <c r="B112" s="1" t="n">
        <v>631124</v>
      </c>
    </row>
    <row r="113" customFormat="false" ht="15.75" hidden="false" customHeight="false" outlineLevel="0" collapsed="false">
      <c r="A113" s="19" t="n">
        <v>631165</v>
      </c>
      <c r="B113" s="1" t="n">
        <v>631165</v>
      </c>
    </row>
    <row r="114" customFormat="false" ht="15.75" hidden="false" customHeight="false" outlineLevel="0" collapsed="false">
      <c r="A114" s="19" t="n">
        <v>633063</v>
      </c>
      <c r="B114" s="1" t="n">
        <v>633063</v>
      </c>
    </row>
    <row r="115" customFormat="false" ht="15.75" hidden="false" customHeight="false" outlineLevel="0" collapsed="false">
      <c r="A115" s="19" t="n">
        <v>633064</v>
      </c>
      <c r="B115" s="1" t="n">
        <v>633064</v>
      </c>
    </row>
    <row r="116" customFormat="false" ht="15.75" hidden="false" customHeight="false" outlineLevel="0" collapsed="false">
      <c r="A116" s="19" t="n">
        <v>633826</v>
      </c>
      <c r="B116" s="1" t="n">
        <v>633826</v>
      </c>
    </row>
    <row r="117" customFormat="false" ht="15.75" hidden="false" customHeight="false" outlineLevel="0" collapsed="false">
      <c r="A117" s="19" t="n">
        <v>650151</v>
      </c>
      <c r="B117" s="1" t="n">
        <v>650151</v>
      </c>
    </row>
    <row r="118" customFormat="false" ht="15.75" hidden="false" customHeight="false" outlineLevel="0" collapsed="false">
      <c r="A118" s="19" t="n">
        <v>650152</v>
      </c>
      <c r="B118" s="1" t="n">
        <v>650152</v>
      </c>
    </row>
    <row r="119" customFormat="false" ht="15.75" hidden="false" customHeight="false" outlineLevel="0" collapsed="false">
      <c r="A119" s="19" t="n">
        <v>650153</v>
      </c>
      <c r="B119" s="1" t="n">
        <v>650153</v>
      </c>
    </row>
    <row r="120" customFormat="false" ht="15.75" hidden="false" customHeight="false" outlineLevel="0" collapsed="false">
      <c r="A120" s="19" t="n">
        <v>650154</v>
      </c>
      <c r="B120" s="1" t="n">
        <v>650154</v>
      </c>
    </row>
    <row r="121" customFormat="false" ht="15.75" hidden="false" customHeight="false" outlineLevel="0" collapsed="false">
      <c r="A121" s="19" t="n">
        <v>652229</v>
      </c>
      <c r="B121" s="1" t="n">
        <v>652229</v>
      </c>
    </row>
    <row r="122" customFormat="false" ht="15.75" hidden="false" customHeight="false" outlineLevel="0" collapsed="false">
      <c r="A122" s="19" t="n">
        <v>662635</v>
      </c>
      <c r="B122" s="1" t="n">
        <v>662635</v>
      </c>
    </row>
    <row r="123" customFormat="false" ht="15.75" hidden="false" customHeight="false" outlineLevel="0" collapsed="false">
      <c r="A123" s="19" t="n">
        <v>663271</v>
      </c>
      <c r="B123" s="1" t="n">
        <v>663271</v>
      </c>
    </row>
    <row r="124" customFormat="false" ht="15.75" hidden="false" customHeight="false" outlineLevel="0" collapsed="false">
      <c r="A124" s="19" t="n">
        <v>663272</v>
      </c>
      <c r="B124" s="1" t="n">
        <v>663272</v>
      </c>
    </row>
    <row r="125" customFormat="false" ht="15.75" hidden="false" customHeight="false" outlineLevel="0" collapsed="false">
      <c r="A125" s="19" t="n">
        <v>673542</v>
      </c>
      <c r="B125" s="1" t="n">
        <v>673542</v>
      </c>
    </row>
    <row r="126" customFormat="false" ht="15.75" hidden="false" customHeight="false" outlineLevel="0" collapsed="false">
      <c r="A126" s="19" t="n">
        <v>675230</v>
      </c>
      <c r="B126" s="1" t="n">
        <v>675230</v>
      </c>
    </row>
    <row r="127" customFormat="false" ht="15.75" hidden="false" customHeight="false" outlineLevel="0" collapsed="false">
      <c r="A127" s="19" t="n">
        <v>681492</v>
      </c>
      <c r="B127" s="1" t="n">
        <v>681492</v>
      </c>
    </row>
    <row r="128" customFormat="false" ht="15.75" hidden="false" customHeight="false" outlineLevel="0" collapsed="false">
      <c r="A128" s="19" t="n">
        <v>681494</v>
      </c>
      <c r="B128" s="1" t="n">
        <v>681494</v>
      </c>
    </row>
    <row r="129" customFormat="false" ht="15.75" hidden="false" customHeight="false" outlineLevel="0" collapsed="false">
      <c r="A129" s="19" t="n">
        <v>681495</v>
      </c>
      <c r="B129" s="1" t="n">
        <v>681495</v>
      </c>
    </row>
    <row r="130" customFormat="false" ht="15.75" hidden="false" customHeight="false" outlineLevel="0" collapsed="false">
      <c r="A130" s="19" t="n">
        <v>681496</v>
      </c>
      <c r="B130" s="1" t="n">
        <v>681496</v>
      </c>
    </row>
    <row r="131" customFormat="false" ht="15.75" hidden="false" customHeight="false" outlineLevel="0" collapsed="false">
      <c r="A131" s="19" t="n">
        <v>683017</v>
      </c>
      <c r="B131" s="1" t="n">
        <v>683017</v>
      </c>
    </row>
    <row r="132" customFormat="false" ht="15.75" hidden="false" customHeight="false" outlineLevel="0" collapsed="false">
      <c r="A132" s="19" t="n">
        <v>684288</v>
      </c>
      <c r="B132" s="1" t="n">
        <v>684288</v>
      </c>
    </row>
    <row r="133" customFormat="false" ht="15.75" hidden="false" customHeight="false" outlineLevel="0" collapsed="false">
      <c r="A133" s="19" t="n">
        <v>684292</v>
      </c>
      <c r="B133" s="1" t="n">
        <v>684292</v>
      </c>
    </row>
    <row r="134" customFormat="false" ht="15.75" hidden="false" customHeight="false" outlineLevel="0" collapsed="false">
      <c r="A134" s="19" t="n">
        <v>684932</v>
      </c>
      <c r="B134" s="1" t="n">
        <v>684932</v>
      </c>
    </row>
    <row r="135" customFormat="false" ht="15.75" hidden="false" customHeight="false" outlineLevel="0" collapsed="false">
      <c r="A135" s="19" t="n">
        <v>684949</v>
      </c>
      <c r="B135" s="1" t="n">
        <v>684949</v>
      </c>
    </row>
    <row r="136" customFormat="false" ht="15.75" hidden="false" customHeight="false" outlineLevel="0" collapsed="false">
      <c r="A136" s="19" t="n">
        <v>684953</v>
      </c>
      <c r="B136" s="1" t="n">
        <v>684953</v>
      </c>
    </row>
    <row r="137" customFormat="false" ht="15.75" hidden="false" customHeight="false" outlineLevel="0" collapsed="false">
      <c r="A137" s="19" t="n">
        <v>684960</v>
      </c>
      <c r="B137" s="1" t="n">
        <v>684960</v>
      </c>
    </row>
    <row r="138" customFormat="false" ht="15.75" hidden="false" customHeight="false" outlineLevel="0" collapsed="false">
      <c r="A138" s="19" t="n">
        <v>684974</v>
      </c>
      <c r="B138" s="1" t="n">
        <v>684974</v>
      </c>
    </row>
    <row r="139" customFormat="false" ht="15.75" hidden="false" customHeight="false" outlineLevel="0" collapsed="false">
      <c r="A139" s="19" t="n">
        <v>685002</v>
      </c>
      <c r="B139" s="1" t="n">
        <v>685002</v>
      </c>
    </row>
    <row r="140" customFormat="false" ht="15.75" hidden="false" customHeight="false" outlineLevel="0" collapsed="false">
      <c r="A140" s="19" t="n">
        <v>685003</v>
      </c>
      <c r="B140" s="1" t="n">
        <v>685003</v>
      </c>
    </row>
    <row r="141" customFormat="false" ht="15.75" hidden="false" customHeight="false" outlineLevel="0" collapsed="false">
      <c r="A141" s="19" t="n">
        <v>685004</v>
      </c>
      <c r="B141" s="1" t="n">
        <v>685004</v>
      </c>
    </row>
    <row r="142" customFormat="false" ht="15.75" hidden="false" customHeight="false" outlineLevel="0" collapsed="false">
      <c r="A142" s="19" t="n">
        <v>685005</v>
      </c>
      <c r="B142" s="1" t="n">
        <v>685005</v>
      </c>
    </row>
    <row r="143" customFormat="false" ht="15.75" hidden="false" customHeight="false" outlineLevel="0" collapsed="false">
      <c r="A143" s="19" t="n">
        <v>685006</v>
      </c>
      <c r="B143" s="1" t="n">
        <v>685006</v>
      </c>
    </row>
    <row r="144" customFormat="false" ht="15.75" hidden="false" customHeight="false" outlineLevel="0" collapsed="false">
      <c r="A144" s="19" t="n">
        <v>685007</v>
      </c>
      <c r="B144" s="1" t="n">
        <v>685007</v>
      </c>
    </row>
    <row r="145" customFormat="false" ht="15.75" hidden="false" customHeight="false" outlineLevel="0" collapsed="false">
      <c r="A145" s="19" t="n">
        <v>685008</v>
      </c>
      <c r="B145" s="1" t="n">
        <v>685008</v>
      </c>
    </row>
    <row r="146" customFormat="false" ht="15.75" hidden="false" customHeight="false" outlineLevel="0" collapsed="false">
      <c r="A146" s="19" t="n">
        <v>685009</v>
      </c>
      <c r="B146" s="1" t="n">
        <v>685009</v>
      </c>
    </row>
    <row r="147" customFormat="false" ht="15.75" hidden="false" customHeight="false" outlineLevel="0" collapsed="false">
      <c r="A147" s="19" t="n">
        <v>685010</v>
      </c>
      <c r="B147" s="1" t="n">
        <v>685010</v>
      </c>
    </row>
    <row r="148" customFormat="false" ht="15.75" hidden="false" customHeight="false" outlineLevel="0" collapsed="false">
      <c r="A148" s="19" t="n">
        <v>685011</v>
      </c>
      <c r="B148" s="1" t="n">
        <v>685011</v>
      </c>
    </row>
    <row r="149" customFormat="false" ht="15.75" hidden="false" customHeight="false" outlineLevel="0" collapsed="false">
      <c r="A149" s="19" t="n">
        <v>685015</v>
      </c>
      <c r="B149" s="1" t="n">
        <v>685015</v>
      </c>
    </row>
    <row r="150" customFormat="false" ht="15.75" hidden="false" customHeight="false" outlineLevel="0" collapsed="false">
      <c r="A150" s="19" t="n">
        <v>685016</v>
      </c>
      <c r="B150" s="1" t="n">
        <v>685016</v>
      </c>
    </row>
    <row r="151" customFormat="false" ht="15.75" hidden="false" customHeight="false" outlineLevel="0" collapsed="false">
      <c r="A151" s="19" t="n">
        <v>685019</v>
      </c>
      <c r="B151" s="1" t="n">
        <v>685019</v>
      </c>
    </row>
    <row r="152" customFormat="false" ht="15.75" hidden="false" customHeight="false" outlineLevel="0" collapsed="false">
      <c r="A152" s="19" t="n">
        <v>685020</v>
      </c>
      <c r="B152" s="1" t="n">
        <v>685020</v>
      </c>
    </row>
    <row r="153" customFormat="false" ht="15.75" hidden="false" customHeight="false" outlineLevel="0" collapsed="false">
      <c r="A153" s="19" t="n">
        <v>685036</v>
      </c>
      <c r="B153" s="1" t="n">
        <v>685036</v>
      </c>
    </row>
    <row r="154" customFormat="false" ht="15.75" hidden="false" customHeight="false" outlineLevel="0" collapsed="false">
      <c r="A154" s="19" t="n">
        <v>685049</v>
      </c>
      <c r="B154" s="1" t="n">
        <v>685049</v>
      </c>
    </row>
    <row r="155" customFormat="false" ht="15.75" hidden="false" customHeight="false" outlineLevel="0" collapsed="false">
      <c r="A155" s="19" t="n">
        <v>685089</v>
      </c>
      <c r="B155" s="1" t="n">
        <v>685089</v>
      </c>
    </row>
    <row r="156" customFormat="false" ht="15.75" hidden="false" customHeight="false" outlineLevel="0" collapsed="false">
      <c r="A156" s="19" t="n">
        <v>685302</v>
      </c>
      <c r="B156" s="1" t="n">
        <v>685302</v>
      </c>
    </row>
    <row r="157" customFormat="false" ht="15.75" hidden="false" customHeight="false" outlineLevel="0" collapsed="false">
      <c r="A157" s="19" t="n">
        <v>685983</v>
      </c>
      <c r="B157" s="1" t="n">
        <v>685983</v>
      </c>
    </row>
    <row r="158" customFormat="false" ht="15.75" hidden="false" customHeight="false" outlineLevel="0" collapsed="false">
      <c r="A158" s="19" t="n">
        <v>686182</v>
      </c>
      <c r="B158" s="1" t="n">
        <v>686182</v>
      </c>
    </row>
    <row r="159" customFormat="false" ht="15.75" hidden="false" customHeight="false" outlineLevel="0" collapsed="false">
      <c r="A159" s="19" t="n">
        <v>686307</v>
      </c>
      <c r="B159" s="1" t="n">
        <v>686307</v>
      </c>
    </row>
    <row r="160" customFormat="false" ht="15.75" hidden="false" customHeight="false" outlineLevel="0" collapsed="false">
      <c r="A160" s="19" t="s">
        <v>67</v>
      </c>
      <c r="B160" s="1" t="s">
        <v>67</v>
      </c>
    </row>
    <row r="161" customFormat="false" ht="15.75" hidden="false" customHeight="false" outlineLevel="0" collapsed="false">
      <c r="A161" s="19" t="s">
        <v>69</v>
      </c>
      <c r="B161" s="1" t="s">
        <v>69</v>
      </c>
    </row>
    <row r="162" customFormat="false" ht="15.75" hidden="false" customHeight="false" outlineLevel="0" collapsed="false">
      <c r="A162" s="19" t="s">
        <v>71</v>
      </c>
      <c r="B162" s="1" t="s">
        <v>71</v>
      </c>
    </row>
    <row r="163" customFormat="false" ht="15.75" hidden="false" customHeight="false" outlineLevel="0" collapsed="false">
      <c r="A163" s="19" t="s">
        <v>370</v>
      </c>
      <c r="B163" s="1" t="s">
        <v>370</v>
      </c>
    </row>
    <row r="164" customFormat="false" ht="15.75" hidden="false" customHeight="false" outlineLevel="0" collapsed="false">
      <c r="A164" s="19" t="s">
        <v>356</v>
      </c>
      <c r="B164" s="1" t="s">
        <v>356</v>
      </c>
    </row>
    <row r="165" customFormat="false" ht="15.75" hidden="false" customHeight="false" outlineLevel="0" collapsed="false">
      <c r="A165" s="19" t="s">
        <v>334</v>
      </c>
      <c r="B165" s="1" t="s">
        <v>334</v>
      </c>
    </row>
    <row r="166" customFormat="false" ht="15.75" hidden="false" customHeight="false" outlineLevel="0" collapsed="false">
      <c r="A166" s="19" t="s">
        <v>336</v>
      </c>
      <c r="B166" s="1" t="s">
        <v>336</v>
      </c>
    </row>
    <row r="167" customFormat="false" ht="15.75" hidden="false" customHeight="false" outlineLevel="0" collapsed="false">
      <c r="A167" s="19" t="s">
        <v>338</v>
      </c>
      <c r="B167" s="1" t="s">
        <v>338</v>
      </c>
    </row>
    <row r="168" customFormat="false" ht="15.75" hidden="false" customHeight="false" outlineLevel="0" collapsed="false">
      <c r="A168" s="19" t="s">
        <v>454</v>
      </c>
      <c r="B168" s="1" t="s">
        <v>454</v>
      </c>
    </row>
    <row r="169" customFormat="false" ht="15.75" hidden="false" customHeight="false" outlineLevel="0" collapsed="false">
      <c r="A169" s="19" t="s">
        <v>455</v>
      </c>
      <c r="B169" s="1" t="s">
        <v>455</v>
      </c>
    </row>
    <row r="170" customFormat="false" ht="15.75" hidden="false" customHeight="false" outlineLevel="0" collapsed="false">
      <c r="A170" s="19" t="s">
        <v>456</v>
      </c>
      <c r="B170" s="1" t="s">
        <v>456</v>
      </c>
    </row>
    <row r="171" customFormat="false" ht="15.75" hidden="false" customHeight="false" outlineLevel="0" collapsed="false">
      <c r="A171" s="19" t="s">
        <v>457</v>
      </c>
      <c r="B171" s="1" t="s">
        <v>457</v>
      </c>
    </row>
    <row r="172" customFormat="false" ht="15.75" hidden="false" customHeight="false" outlineLevel="0" collapsed="false">
      <c r="A172" s="19" t="s">
        <v>458</v>
      </c>
      <c r="B172" s="1" t="s">
        <v>458</v>
      </c>
    </row>
    <row r="173" customFormat="false" ht="15.75" hidden="false" customHeight="false" outlineLevel="0" collapsed="false">
      <c r="A173" s="19" t="s">
        <v>459</v>
      </c>
      <c r="B173" s="1" t="s">
        <v>459</v>
      </c>
    </row>
    <row r="174" customFormat="false" ht="15.75" hidden="false" customHeight="false" outlineLevel="0" collapsed="false">
      <c r="A174" s="19" t="s">
        <v>460</v>
      </c>
      <c r="B174" s="1" t="s">
        <v>460</v>
      </c>
    </row>
    <row r="175" customFormat="false" ht="15.75" hidden="false" customHeight="false" outlineLevel="0" collapsed="false">
      <c r="A175" s="19" t="s">
        <v>461</v>
      </c>
      <c r="B175" s="1" t="s">
        <v>461</v>
      </c>
    </row>
    <row r="176" customFormat="false" ht="15.75" hidden="false" customHeight="false" outlineLevel="0" collapsed="false">
      <c r="A176" s="19" t="s">
        <v>462</v>
      </c>
      <c r="B176" s="1" t="s">
        <v>462</v>
      </c>
    </row>
    <row r="177" customFormat="false" ht="15.75" hidden="false" customHeight="false" outlineLevel="0" collapsed="false">
      <c r="A177" s="19" t="s">
        <v>463</v>
      </c>
      <c r="B177" s="1" t="s">
        <v>463</v>
      </c>
    </row>
    <row r="178" customFormat="false" ht="15.75" hidden="false" customHeight="false" outlineLevel="0" collapsed="false">
      <c r="A178" s="19" t="s">
        <v>34</v>
      </c>
      <c r="B178" s="1" t="s">
        <v>34</v>
      </c>
    </row>
    <row r="179" customFormat="false" ht="15.75" hidden="false" customHeight="false" outlineLevel="0" collapsed="false">
      <c r="A179" s="19" t="s">
        <v>36</v>
      </c>
      <c r="B179" s="1" t="s">
        <v>36</v>
      </c>
    </row>
    <row r="180" customFormat="false" ht="15.75" hidden="false" customHeight="false" outlineLevel="0" collapsed="false">
      <c r="A180" s="19" t="s">
        <v>38</v>
      </c>
      <c r="B180" s="1" t="s">
        <v>38</v>
      </c>
    </row>
    <row r="181" customFormat="false" ht="15.75" hidden="false" customHeight="false" outlineLevel="0" collapsed="false">
      <c r="A181" s="19" t="s">
        <v>39</v>
      </c>
      <c r="B181" s="1" t="s">
        <v>39</v>
      </c>
    </row>
    <row r="182" customFormat="false" ht="15.75" hidden="false" customHeight="false" outlineLevel="0" collapsed="false">
      <c r="A182" s="19" t="n">
        <v>694009</v>
      </c>
      <c r="B182" s="1" t="n">
        <v>694009</v>
      </c>
    </row>
  </sheetData>
  <autoFilter ref="B1:B199">
    <sortState ref="B2:B199">
      <sortCondition ref="B2:B199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2023-02-11T10:01:57Z</dcterms:created>
  <dc:creator>FATUN</dc:creator>
  <dc:description/>
  <dc:language>en-US</dc:language>
  <cp:lastModifiedBy/>
  <cp:lastPrinted>2026-06-12T04:04:42Z</cp:lastPrinted>
  <dcterms:modified xsi:type="dcterms:W3CDTF">2026-07-16T08:33:49Z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